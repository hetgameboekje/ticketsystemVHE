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vheindustrialautomationbv-my.sharepoint.com/personal/timo_bergthaler_vhe_nl/Documents/Delen/IT afdeling/Excel lijsten/"/>
    </mc:Choice>
  </mc:AlternateContent>
  <xr:revisionPtr revIDLastSave="0" documentId="8_{C6BFFF77-0298-463C-8B4F-D9F62F9661BE}" xr6:coauthVersionLast="47" xr6:coauthVersionMax="47" xr10:uidLastSave="{00000000-0000-0000-0000-000000000000}"/>
  <bookViews>
    <workbookView xWindow="-28920" yWindow="-120" windowWidth="29040" windowHeight="15720" firstSheet="2" activeTab="2" xr2:uid="{FD67AE61-9590-4BF5-AE20-B00A9D1C6A5F}"/>
  </bookViews>
  <sheets>
    <sheet name="Index" sheetId="4" r:id="rId1"/>
    <sheet name="Opdrachtgevers" sheetId="1" r:id="rId2"/>
    <sheet name="Taken" sheetId="2" r:id="rId3"/>
    <sheet name="Verbeterpunten" sheetId="8" r:id="rId4"/>
    <sheet name="Hardware" sheetId="7" r:id="rId5"/>
    <sheet name="Printers" sheetId="10" r:id="rId6"/>
    <sheet name="Cheatsheet" sheetId="9" r:id="rId7"/>
  </sheets>
  <definedNames>
    <definedName name="_xlnm._FilterDatabase" localSheetId="4" hidden="1">Hardware!$A$1:$F$1</definedName>
    <definedName name="_xlnm._FilterDatabase" localSheetId="1" hidden="1">Opdrachtgevers!$A$1:$D$1</definedName>
    <definedName name="_xlnm._FilterDatabase" localSheetId="2" hidden="1">Taken!$A$1:$L$70</definedName>
    <definedName name="ExternalData_1" localSheetId="5" hidden="1">Printers!$A$1:$G$28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6" i="4" l="1"/>
  <c r="C9" i="4"/>
  <c r="C8" i="4"/>
  <c r="C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printers" description="Verbinding maken met de query printers in de werkmap." type="5" refreshedVersion="8" background="1" saveData="1">
    <dbPr connection="Provider=Microsoft.Mashup.OleDb.1;Data Source=$Workbook$;Location=printers;Extended Properties=&quot;&quot;" command="SELECT * FROM [printers]"/>
  </connection>
</connections>
</file>

<file path=xl/sharedStrings.xml><?xml version="1.0" encoding="utf-8"?>
<sst xmlns="http://schemas.openxmlformats.org/spreadsheetml/2006/main" count="779" uniqueCount="388">
  <si>
    <t>TODOIST</t>
  </si>
  <si>
    <t>Opdrachtgevers</t>
  </si>
  <si>
    <t>Taken</t>
  </si>
  <si>
    <t>Openstaand</t>
  </si>
  <si>
    <t>Afgerond</t>
  </si>
  <si>
    <t>Versie</t>
  </si>
  <si>
    <t>feature/TB-052026-Init</t>
  </si>
  <si>
    <t>Naam</t>
  </si>
  <si>
    <t>Behandeld</t>
  </si>
  <si>
    <t>Laatst behandeld</t>
  </si>
  <si>
    <t>Tijd</t>
  </si>
  <si>
    <t>David Fontijn</t>
  </si>
  <si>
    <t>ja</t>
  </si>
  <si>
    <t>Jeroen Schippers</t>
  </si>
  <si>
    <t>Karel van kranenburg</t>
  </si>
  <si>
    <t xml:space="preserve">Manon van de Wiel </t>
  </si>
  <si>
    <t>Martin Prins</t>
  </si>
  <si>
    <t xml:space="preserve">Ralph van der Lee </t>
  </si>
  <si>
    <t>Theo Sanders</t>
  </si>
  <si>
    <t>Josephine van der Klis</t>
  </si>
  <si>
    <t>Mark Admiraal</t>
  </si>
  <si>
    <t xml:space="preserve">Tjerk Jansen </t>
  </si>
  <si>
    <t xml:space="preserve">Laurens van Benthem </t>
  </si>
  <si>
    <t>Rinaldo  Kartodikromo</t>
  </si>
  <si>
    <t>Benny Carels</t>
  </si>
  <si>
    <t>Ronald Wilbers</t>
  </si>
  <si>
    <t>Michael Keeris</t>
  </si>
  <si>
    <t xml:space="preserve">Joop Essing </t>
  </si>
  <si>
    <t>Ja</t>
  </si>
  <si>
    <t>Opdrachtgever</t>
  </si>
  <si>
    <t>Taak</t>
  </si>
  <si>
    <t>omschrijving</t>
  </si>
  <si>
    <t>Afdeling</t>
  </si>
  <si>
    <t>Prioriteit</t>
  </si>
  <si>
    <t>Impact</t>
  </si>
  <si>
    <t>Schatting</t>
  </si>
  <si>
    <t>behandeld</t>
  </si>
  <si>
    <t>Datum toegevoegd</t>
  </si>
  <si>
    <t>Schatting deadline</t>
  </si>
  <si>
    <t>Behandelaar</t>
  </si>
  <si>
    <t>Status</t>
  </si>
  <si>
    <t>David</t>
  </si>
  <si>
    <t>zerox timesheet goedkeuring permissie instellen</t>
  </si>
  <si>
    <t>urenstaten goedkeuren</t>
  </si>
  <si>
    <t>kantoor</t>
  </si>
  <si>
    <t>generiek</t>
  </si>
  <si>
    <t>zerox</t>
  </si>
  <si>
    <t>Frank</t>
  </si>
  <si>
    <t>Jeroen</t>
  </si>
  <si>
    <t>adressenboek updaten</t>
  </si>
  <si>
    <t>debiteurnummer gekoppeld, deze moeten verwerkt worden zodat ze bekend zijn zerox</t>
  </si>
  <si>
    <t>outbound</t>
  </si>
  <si>
    <t>handwerk</t>
  </si>
  <si>
    <t>digitale werkplek competenties op naam zetten alle afdelingen</t>
  </si>
  <si>
    <t>orde</t>
  </si>
  <si>
    <t>Ralph</t>
  </si>
  <si>
    <t>snelkoppeling folder werkt niet</t>
  </si>
  <si>
    <t>fs02-vhe/ia/qms/normen werkt niet heeft error dat hij niet bestaat of geen verbinding heeft</t>
  </si>
  <si>
    <t>Mogelijk geen rechten tot de folder in de fs02</t>
  </si>
  <si>
    <t>Laptop cleaningroom verouderd</t>
  </si>
  <si>
    <t>Nieuwe heeft niet de programma's die nodig zijn, sumatra, ceetis, cleanroom mail moet gekoppeld worden. En zerox</t>
  </si>
  <si>
    <t>cleaningroom</t>
  </si>
  <si>
    <t>hoog</t>
  </si>
  <si>
    <t>Jeroen gemaild maar heeft vrije dag</t>
  </si>
  <si>
    <t>In cleanroom computer/pc (sluis1 en darkroom) mini's</t>
  </si>
  <si>
    <t>cleanroom</t>
  </si>
  <si>
    <t>toegankelijkheid</t>
  </si>
  <si>
    <t>Nieuwe laptop in ontvangst moet ingesteld worden</t>
  </si>
  <si>
    <t>Lasergrafeer apparaat aansluiten</t>
  </si>
  <si>
    <t>De grafeer apparaat moet hardeschijf  gewisselt voor worden zodat deze naar w11 kan. Daarna een network share voor maken zodat ze op een folder dit kunnen verwerken.</t>
  </si>
  <si>
    <t>labels</t>
  </si>
  <si>
    <t>security</t>
  </si>
  <si>
    <t>mail gestuurd naar ralph</t>
  </si>
  <si>
    <t>Karel</t>
  </si>
  <si>
    <t>Python programma loopt niet lekker met numering</t>
  </si>
  <si>
    <t>factuurnumering inkoop facturen goeden en ontvangsten, kosten. 511 is vol dus 512 gestart, wordt nu niet verstuurd naar de juiste  facturatie gestuurd, gaat naar judith gaat naar de kosten ipv inkoop. Backlog</t>
  </si>
  <si>
    <t>finance</t>
  </si>
  <si>
    <t>Martin</t>
  </si>
  <si>
    <t>Heeft Martin opgepakt</t>
  </si>
  <si>
    <t>Nieuwe muis</t>
  </si>
  <si>
    <t>Kantoor onderhoud werkplekken renovatie</t>
  </si>
  <si>
    <t>Verbinding maken met pc schermen (in de proto hal en frisdranken)</t>
  </si>
  <si>
    <t>mini pc utp zou moeten werken met verbinding werkt nu nog met usb stickjes</t>
  </si>
  <si>
    <t>proto</t>
  </si>
  <si>
    <t>NinjaOne ticket aangemaakt</t>
  </si>
  <si>
    <t>Remi nieuwe laptop</t>
  </si>
  <si>
    <t xml:space="preserve">remi vraagt of de laptop uitgewisselt kan worden </t>
  </si>
  <si>
    <t>Wacht op licentie</t>
  </si>
  <si>
    <t>Sticker apparaat werkt niet naar behoren</t>
  </si>
  <si>
    <t>verbindings problemen</t>
  </si>
  <si>
    <t>onderhoud</t>
  </si>
  <si>
    <t>Werkplek Martin organiseren</t>
  </si>
  <si>
    <t>Wegwerken kabels kabelgoot met klitterband/spiraalband</t>
  </si>
  <si>
    <t>In vakantie martin georganiseerd</t>
  </si>
  <si>
    <t>laptop aan vervanging Will</t>
  </si>
  <si>
    <t>Komt vaker naar ons toe</t>
  </si>
  <si>
    <t>Laptop upgraden W11 martin</t>
  </si>
  <si>
    <t>Eventueel nieuwe laptop &gt; traag &amp; persoonlijke laptop (staat alles van VHE op)</t>
  </si>
  <si>
    <t>Wacht op nieuwe laptop</t>
  </si>
  <si>
    <t>bureau's karel verplaatsen</t>
  </si>
  <si>
    <t xml:space="preserve">Karel en extra werkplek ook tegen achterwand zetten nieuwe goot </t>
  </si>
  <si>
    <t>digibord aansluiten internet minipc</t>
  </si>
  <si>
    <t>pdf moet kunnen openen op bord bij model</t>
  </si>
  <si>
    <t>modelshop</t>
  </si>
  <si>
    <t>labelprinter modelshop neerzetten</t>
  </si>
  <si>
    <t>Voor dit moet er een scherm georganiseerd worden. Tiewraps netjes weg werken, pc upgraden als nodig is, aansluiten op netwerk en een netwerk share maken</t>
  </si>
  <si>
    <t>ontlasten</t>
  </si>
  <si>
    <t>Punt terug gekomen om de printers te controleren</t>
  </si>
  <si>
    <t>Manon</t>
  </si>
  <si>
    <t>VPN</t>
  </si>
  <si>
    <t>Is geinstalleerd</t>
  </si>
  <si>
    <t>HR</t>
  </si>
  <si>
    <t>Rinaldo</t>
  </si>
  <si>
    <t>Mini's vervangen Krijgt een lijstje</t>
  </si>
  <si>
    <t>inwerken nieuwe collega's hebben werkplek nodig</t>
  </si>
  <si>
    <t>spoed</t>
  </si>
  <si>
    <t>Theo</t>
  </si>
  <si>
    <t>magazijn switch plaatsen bij inbound balie</t>
  </si>
  <si>
    <t>inbound</t>
  </si>
  <si>
    <t>laptop extra bij knippers</t>
  </si>
  <si>
    <t>knippers</t>
  </si>
  <si>
    <t>nieuwe scanner 2 blaadjes dubbel pakken en home aanpassen</t>
  </si>
  <si>
    <t>magazijn</t>
  </si>
  <si>
    <t>Josephine</t>
  </si>
  <si>
    <t>U schijf niet bereikbaar via vpn thuis</t>
  </si>
  <si>
    <t>laag</t>
  </si>
  <si>
    <t>Niet opgelost gekregen</t>
  </si>
  <si>
    <t>Werkplek computer vervangen</t>
  </si>
  <si>
    <t>trage computer grote kast vervangen nodig</t>
  </si>
  <si>
    <t>balie</t>
  </si>
  <si>
    <t>Gevraagd of dit nog nodig is gezien meerdere keren een oplossing "tussendoor" heb opgelost -&gt; Tijdelijk on hold komt later terug of is voor onderhoud</t>
  </si>
  <si>
    <t>Labelprinter verkeerde printer instellingen</t>
  </si>
  <si>
    <t>Probleem dat de labels wel printen maar niet goed verstuurd worden vanuit de pc zelf, werkt wel via de website van asml zelf</t>
  </si>
  <si>
    <t>Bundels laptop instellen Ceetis</t>
  </si>
  <si>
    <t>bundel</t>
  </si>
  <si>
    <t>project complete werkt niet</t>
  </si>
  <si>
    <t>PC reset nodig</t>
  </si>
  <si>
    <t>Printer instellen via domein op werklaptop</t>
  </si>
  <si>
    <t>Switch van aruba gebruiken</t>
  </si>
  <si>
    <t>Barcode scanner firmware downloaden</t>
  </si>
  <si>
    <t>Rinaldo gemaild 16, bij hasret gevraagd en die weet niets af van wat er mis gaat.</t>
  </si>
  <si>
    <t>Frank bijbestellen pc</t>
  </si>
  <si>
    <t>A3 printer (zit in de stookruimte)</t>
  </si>
  <si>
    <t>Benny</t>
  </si>
  <si>
    <t>Uitschrijven mailing leegloop</t>
  </si>
  <si>
    <t>Rechten geven op TPD archief</t>
  </si>
  <si>
    <t>Kan je Ilja rechten geven op TPD archief?</t>
  </si>
  <si>
    <t>Mail toestaan barracuda</t>
  </si>
  <si>
    <t>Tijdzone herstellen laptop</t>
  </si>
  <si>
    <t>Ligt bij ACA</t>
  </si>
  <si>
    <t>Mail adressen aanmaken</t>
  </si>
  <si>
    <t>Zie mail van benny voor asia</t>
  </si>
  <si>
    <t>Michael</t>
  </si>
  <si>
    <t>rechten op mappen bij map kwaliteit (achteraf aanpassen of eruit gooien)</t>
  </si>
  <si>
    <t>niveau aanpassen mappen</t>
  </si>
  <si>
    <t>exact aanpassingen kolommen freddy buis selecteren en kopieren</t>
  </si>
  <si>
    <t>Niet begonnen</t>
  </si>
  <si>
    <t>Ronald</t>
  </si>
  <si>
    <t>Uren applicatie evaluatie</t>
  </si>
  <si>
    <t> Test Engineering</t>
  </si>
  <si>
    <t>Ronald recht op de map</t>
  </si>
  <si>
    <t>\\FS01-VHE\DATA\VHE IA\Relaties\Heliox\Management\1. Facturen</t>
  </si>
  <si>
    <t>Rechten op het testsysteem van NFI</t>
  </si>
  <si>
    <t>Martijn Meeuwessen</t>
  </si>
  <si>
    <t>ECR Rechten ZEROX</t>
  </si>
  <si>
    <t>security policy nakijken mfa</t>
  </si>
  <si>
    <t>stepfile viewer</t>
  </si>
  <si>
    <t>moeten bepaalde mechanische files (3d weergave) alleen voor weergave kunnen open (geld ook voor de gratis pdf viewer)</t>
  </si>
  <si>
    <t>applicatie beheer</t>
  </si>
  <si>
    <t>Naar Ronald geadviseerd</t>
  </si>
  <si>
    <t>programma flowchart maken geen rechten fisio (licentie toekenning)</t>
  </si>
  <si>
    <t>zip bestanden werken niet. Rar bestanden</t>
  </si>
  <si>
    <t>Misschien 7zip of winrar?</t>
  </si>
  <si>
    <t>Handwerk</t>
  </si>
  <si>
    <t>Wel naar gekeken en tijdelijk opgelost, probleem keert terug. Het ligt mogelijk aan sentinel One</t>
  </si>
  <si>
    <t>Labelprinter instaleren op het netwerk</t>
  </si>
  <si>
    <t>Wachten op Fortinet switch</t>
  </si>
  <si>
    <t>laptop bevriesd vaak</t>
  </si>
  <si>
    <t>Moet windows eerst updaten</t>
  </si>
  <si>
    <t xml:space="preserve">muis gerard </t>
  </si>
  <si>
    <t>Printer niet te installeren PC Gökhan; krijg onderstaande melding</t>
  </si>
  <si>
    <t>Gecontroleerd niet te reproduceren op eigen pc. Heeft waarschijnlijk geen rechten "rundll32 printui.dll,PrintUIEntry /in /n "\\fs01-vhe\HP OfficeJet 7740 BG-Testen Proto""</t>
  </si>
  <si>
    <t>Laptop's testen beginnen op te raken</t>
  </si>
  <si>
    <t>Apart punten opgepakt</t>
  </si>
  <si>
    <t>Telefoon's leegmaken en gereed voor de volgende gebruiker inclusief app's</t>
  </si>
  <si>
    <t>Joop</t>
  </si>
  <si>
    <t>Kabel en docking uitbreiden</t>
  </si>
  <si>
    <t>Hasret</t>
  </si>
  <si>
    <t>Ceetis nieuwe laptop</t>
  </si>
  <si>
    <t>Bundel</t>
  </si>
  <si>
    <t>Besproken dat ik een terugkoppeling geef komende maandag. Indien de switches snel komen wacht ik eerst daar op. Anders lever ik een werkende laptop.</t>
  </si>
  <si>
    <t>Zwart wit printer naar kleur vervangen</t>
  </si>
  <si>
    <t>Minix pc w10 installeren/werkend krijgen</t>
  </si>
  <si>
    <t>Frank heeft image</t>
  </si>
  <si>
    <t>Judith</t>
  </si>
  <si>
    <t>VPN Controleren</t>
  </si>
  <si>
    <t>Finance</t>
  </si>
  <si>
    <t>Phoenix printer</t>
  </si>
  <si>
    <t>Altec printer</t>
  </si>
  <si>
    <t>Sandy</t>
  </si>
  <si>
    <t>Zo veel mogelijk minix computers printer instellen</t>
  </si>
  <si>
    <t>Moet via IP</t>
  </si>
  <si>
    <t>Bij Sandy</t>
  </si>
  <si>
    <t>Gekeken zit op ander netwerk, vraag stellen bi jACA</t>
  </si>
  <si>
    <t>Intel en polycam verwijderen</t>
  </si>
  <si>
    <t>Excel synchronisatie gelijk trekken</t>
  </si>
  <si>
    <t>Modules</t>
  </si>
  <si>
    <t>Printer instellen met IP</t>
  </si>
  <si>
    <t>Dit is onder david en rinaldo hun kantoor</t>
  </si>
  <si>
    <t>Wel aan begonnen, is moeilijk op te lossen. Moet een keer dag uitzoeken om hiervoor rustig t ezitten</t>
  </si>
  <si>
    <t>Proto</t>
  </si>
  <si>
    <t>VPN instellingen controleren chris van rooij</t>
  </si>
  <si>
    <t>Meegekeken hoe het process nu verloopt.</t>
  </si>
  <si>
    <t>Gerard</t>
  </si>
  <si>
    <t xml:space="preserve">Werkplekken maken </t>
  </si>
  <si>
    <t>Een van de minix heeft geen wifi maar wel nodig, de ander heeft geen windows installatie</t>
  </si>
  <si>
    <t>Berk outlook template toevoegen ACA</t>
  </si>
  <si>
    <t>Direct contact met ronald</t>
  </si>
  <si>
    <t>GPO instellen</t>
  </si>
  <si>
    <t>Begonnen uitzoeken</t>
  </si>
  <si>
    <t>Ilja</t>
  </si>
  <si>
    <t>Werkplekken minix maken 5 stuks minimaal</t>
  </si>
  <si>
    <t>Generiek</t>
  </si>
  <si>
    <t>Spoed oplossing</t>
  </si>
  <si>
    <t>Ilja / paul</t>
  </si>
  <si>
    <t>printers minix driver</t>
  </si>
  <si>
    <t>?</t>
  </si>
  <si>
    <t>Serverroom organiseren</t>
  </si>
  <si>
    <t>Kantoor</t>
  </si>
  <si>
    <t>Overzicht</t>
  </si>
  <si>
    <t>Aan begonnen</t>
  </si>
  <si>
    <t>Laptops uitrollen</t>
  </si>
  <si>
    <t>Poging tot automatisering</t>
  </si>
  <si>
    <t>Tijdzone script maken</t>
  </si>
  <si>
    <t>Voor als hij terug in Nederland is een .service script in de boot zetten</t>
  </si>
  <si>
    <t>3d weergave remote station</t>
  </si>
  <si>
    <t>het kunnen openen van de 3d modellen op remote view (vragen bij engineering welke viewer nodig is)</t>
  </si>
  <si>
    <t>David opnieuw gesproken, is wellicht niet wenselijk op de minix. Nader bericht volgt</t>
  </si>
  <si>
    <t>Filetransfer met fromsmash.com</t>
  </si>
  <si>
    <t>Alternatieven bedenken hiervoor</t>
  </si>
  <si>
    <t>Mark</t>
  </si>
  <si>
    <t>Koptelefoons werkplekken (nu alleen voor Mark)</t>
  </si>
  <si>
    <t>freddy buis oude laptop werkt niet (heeft wel vaste pc)</t>
  </si>
  <si>
    <t>flexplek misschien oplossing</t>
  </si>
  <si>
    <t>printers op VLAN</t>
  </si>
  <si>
    <t>Wachten op switch</t>
  </si>
  <si>
    <t>VHE</t>
  </si>
  <si>
    <t>Werkplekken kabelmanagement</t>
  </si>
  <si>
    <t>Paar gedaan niet alles op de goede manier</t>
  </si>
  <si>
    <t>Datum uitgifte</t>
  </si>
  <si>
    <t>oud retour</t>
  </si>
  <si>
    <t>nieuw afgaven</t>
  </si>
  <si>
    <t>Type</t>
  </si>
  <si>
    <t>opmerking</t>
  </si>
  <si>
    <t>chris van rooij</t>
  </si>
  <si>
    <t>draadloos</t>
  </si>
  <si>
    <t>Muis</t>
  </si>
  <si>
    <t>nvt</t>
  </si>
  <si>
    <t>Labels links</t>
  </si>
  <si>
    <t>Labels rechts</t>
  </si>
  <si>
    <t>Ivana</t>
  </si>
  <si>
    <t>45Watt oplader</t>
  </si>
  <si>
    <t>5m HDMI to HDMI cable</t>
  </si>
  <si>
    <t>Gokhan</t>
  </si>
  <si>
    <t>Laptop</t>
  </si>
  <si>
    <t>monitorarm</t>
  </si>
  <si>
    <t>Martijn</t>
  </si>
  <si>
    <t>Moet 1 laptop inleveren</t>
  </si>
  <si>
    <t>Ben</t>
  </si>
  <si>
    <t>nee</t>
  </si>
  <si>
    <t>Heeft er totaal 3 staan</t>
  </si>
  <si>
    <t>Laurence</t>
  </si>
  <si>
    <t>Ivana heeft hem gekregen maar terug gegeven, Laurence heeft deze overgenomen</t>
  </si>
  <si>
    <t>Leenmuis is terug</t>
  </si>
  <si>
    <t>Judith Setz van Asten</t>
  </si>
  <si>
    <t>Oude was defect</t>
  </si>
  <si>
    <t>Muis, Toetsenbord, laptopstandaard, laptoptas</t>
  </si>
  <si>
    <t>Name</t>
  </si>
  <si>
    <t>ComputerName</t>
  </si>
  <si>
    <t>DriverName</t>
  </si>
  <si>
    <t>PortName</t>
  </si>
  <si>
    <t>Shared</t>
  </si>
  <si>
    <t>Published</t>
  </si>
  <si>
    <t>Altec ATP-600 BG-Testen Proto</t>
  </si>
  <si>
    <t>fs01-vhe</t>
  </si>
  <si>
    <t>Local</t>
  </si>
  <si>
    <t>Altec ATP-600</t>
  </si>
  <si>
    <t>10.32.5.128</t>
  </si>
  <si>
    <t>Altec TTP-343 Plus Outbound</t>
  </si>
  <si>
    <t>Altec TTP-343 Plus</t>
  </si>
  <si>
    <t>10.11.121</t>
  </si>
  <si>
    <t>GelSprinter GX 3000/3050N</t>
  </si>
  <si>
    <t>10.11.1.42</t>
  </si>
  <si>
    <t>HP 7740 Kantoor beneden HAL3</t>
  </si>
  <si>
    <t>HP Universal Printing</t>
  </si>
  <si>
    <t>FILE:</t>
  </si>
  <si>
    <t>HP Color Laserjet Pro (Heliox)</t>
  </si>
  <si>
    <t>10.11.2.136</t>
  </si>
  <si>
    <t>HP Color LaserJet Pro MFP M</t>
  </si>
  <si>
    <t>HP Color LaserJet Pro</t>
  </si>
  <si>
    <t>10.32.5.132</t>
  </si>
  <si>
    <t>HP Designjet T520 V2-Links</t>
  </si>
  <si>
    <t>HP Designjet T520 36in</t>
  </si>
  <si>
    <t>10.32.5.13</t>
  </si>
  <si>
    <t>HP LaserJet 100 colorMFP M175</t>
  </si>
  <si>
    <t>10.11.2.116</t>
  </si>
  <si>
    <t>HP M479FW BG-Testen Proto</t>
  </si>
  <si>
    <t>10.32.5.129</t>
  </si>
  <si>
    <t>HP OfficeJet 7740 BG-Testen Proto</t>
  </si>
  <si>
    <t>10.32.5.130_1</t>
  </si>
  <si>
    <t>HP Printer Martin Prins</t>
  </si>
  <si>
    <t>10.33.10.185</t>
  </si>
  <si>
    <t>RICOH MP C2004 V2-Links</t>
  </si>
  <si>
    <t>Gestetner MP C3003 PCL 6</t>
  </si>
  <si>
    <t>10.32.5.131</t>
  </si>
  <si>
    <t>RICOH MP C2504 V1-WVB</t>
  </si>
  <si>
    <t>RICOH MP C2504ex PCL 6</t>
  </si>
  <si>
    <t>10.32.5.11</t>
  </si>
  <si>
    <t>RICOH MP C2504ex BG-Backoffice</t>
  </si>
  <si>
    <t>10.32.5.127</t>
  </si>
  <si>
    <t>RICOH MP C2504ex V2-Rechts</t>
  </si>
  <si>
    <t>10.32.5.10</t>
  </si>
  <si>
    <t>RICOH MP C3003 BG-Outbound</t>
  </si>
  <si>
    <t>RICOH MP C3003 PCL 6</t>
  </si>
  <si>
    <t>10.32.5.15</t>
  </si>
  <si>
    <t>Ricoh MP C3004 BG 2Bin Proto</t>
  </si>
  <si>
    <t>PCL6 V4 Driver for Universal Print</t>
  </si>
  <si>
    <t>10.32.5.25</t>
  </si>
  <si>
    <t>RICOH MP C3004 BG-Logistiek</t>
  </si>
  <si>
    <t>10.32.5.125</t>
  </si>
  <si>
    <t>RICOH MP C3004ex BG-Cables</t>
  </si>
  <si>
    <t>10.32.5.12</t>
  </si>
  <si>
    <t>RICOH MP C3004ex BG-Modules</t>
  </si>
  <si>
    <t>10.32.5.126</t>
  </si>
  <si>
    <t>TSC TTP 343 1</t>
  </si>
  <si>
    <t>TSC TTP-343 Plus</t>
  </si>
  <si>
    <t>10.11.100.16_2</t>
  </si>
  <si>
    <t>TSC TTP 343 2</t>
  </si>
  <si>
    <t>TSC TTP-343</t>
  </si>
  <si>
    <t>10.11.100.17</t>
  </si>
  <si>
    <t>TSC TTP 343 3</t>
  </si>
  <si>
    <t>Altec TTP-343</t>
  </si>
  <si>
    <t>10.11.100.18</t>
  </si>
  <si>
    <t>TSC TTP 343 4</t>
  </si>
  <si>
    <t>10.11.100.19</t>
  </si>
  <si>
    <t>TSC TTP-343 6 Connector sticker</t>
  </si>
  <si>
    <t>10.11.100.29</t>
  </si>
  <si>
    <t>TTP-343 BG-Raith</t>
  </si>
  <si>
    <t>10.32.5.51</t>
  </si>
  <si>
    <t>TTP-343 V2-Rechts (SP)</t>
  </si>
  <si>
    <t>10.32.5.14</t>
  </si>
  <si>
    <t>Omschrijving</t>
  </si>
  <si>
    <t>Code</t>
  </si>
  <si>
    <t>rundll32 printui.dll,PrintUIEntry /y /n "\\fs01-vhe\HP Color LaserJet Pro MFP M377 V2 Finance"</t>
  </si>
  <si>
    <t>CMD printer</t>
  </si>
  <si>
    <t>Het draadloos toevoegen van printers binnen het domein</t>
  </si>
  <si>
    <t>rundll32 printui.dll,PrintUIEntry /y /n "\\fs01-vhe\HP OfficeJet 7740 BG-Testen Proto"</t>
  </si>
  <si>
    <t>cmd</t>
  </si>
  <si>
    <t>HP Color LaserJet Pro MFP M377 V2 Finance</t>
  </si>
  <si>
    <t>Grant local admin</t>
  </si>
  <si>
    <t>Voor het toevoegen van domein user als local admin</t>
  </si>
  <si>
    <t>net localgroup administrators "dmn-vhe\timo.bergthaler" /add</t>
  </si>
  <si>
    <t>powershell</t>
  </si>
  <si>
    <t xml:space="preserve">Create local admin </t>
  </si>
  <si>
    <t>Nieuwe gebruiker  "admin" aanmaken met admingroup met password prompt</t>
  </si>
  <si>
    <r>
      <t>$Password</t>
    </r>
    <r>
      <rPr>
        <sz val="11"/>
        <color rgb="FF3F3B35"/>
        <rFont val="Courier New"/>
        <family val="3"/>
      </rPr>
      <t xml:space="preserve"> = </t>
    </r>
    <r>
      <rPr>
        <sz val="11"/>
        <color rgb="FF953800"/>
        <rFont val="Courier New"/>
        <family val="3"/>
      </rPr>
      <t>Read-Host</t>
    </r>
    <r>
      <rPr>
        <sz val="11"/>
        <color rgb="FF3F3B35"/>
        <rFont val="Courier New"/>
        <family val="3"/>
      </rPr>
      <t xml:space="preserve"> -AsSecureString -Prompt </t>
    </r>
    <r>
      <rPr>
        <sz val="11"/>
        <color rgb="FF0A3069"/>
        <rFont val="Courier New"/>
        <family val="3"/>
      </rPr>
      <t>"Voer wachtwoord voor admin in"</t>
    </r>
    <r>
      <rPr>
        <sz val="11"/>
        <color rgb="FF3F3B35"/>
        <rFont val="Courier New"/>
        <family val="3"/>
      </rPr>
      <t xml:space="preserve"> </t>
    </r>
    <r>
      <rPr>
        <sz val="11"/>
        <color rgb="FF953800"/>
        <rFont val="Courier New"/>
        <family val="3"/>
      </rPr>
      <t>New-LocalUser</t>
    </r>
    <r>
      <rPr>
        <sz val="11"/>
        <color rgb="FF3F3B35"/>
        <rFont val="Courier New"/>
        <family val="3"/>
      </rPr>
      <t xml:space="preserve"> -Name </t>
    </r>
    <r>
      <rPr>
        <sz val="11"/>
        <color rgb="FF0A3069"/>
        <rFont val="Courier New"/>
        <family val="3"/>
      </rPr>
      <t>"admin"</t>
    </r>
    <r>
      <rPr>
        <sz val="11"/>
        <color rgb="FF3F3B35"/>
        <rFont val="Courier New"/>
        <family val="3"/>
      </rPr>
      <t xml:space="preserve"> -Password </t>
    </r>
    <r>
      <rPr>
        <sz val="11"/>
        <color rgb="FF0550AE"/>
        <rFont val="Courier New"/>
        <family val="3"/>
      </rPr>
      <t>$Password</t>
    </r>
    <r>
      <rPr>
        <sz val="11"/>
        <color rgb="FF3F3B35"/>
        <rFont val="Courier New"/>
        <family val="3"/>
      </rPr>
      <t xml:space="preserve"> -Description </t>
    </r>
    <r>
      <rPr>
        <sz val="11"/>
        <color rgb="FF0A3069"/>
        <rFont val="Courier New"/>
        <family val="3"/>
      </rPr>
      <t>"Lokale administrator"</t>
    </r>
    <r>
      <rPr>
        <sz val="11"/>
        <color rgb="FF3F3B35"/>
        <rFont val="Courier New"/>
        <family val="3"/>
      </rPr>
      <t xml:space="preserve"> </t>
    </r>
    <r>
      <rPr>
        <sz val="11"/>
        <color rgb="FF953800"/>
        <rFont val="Courier New"/>
        <family val="3"/>
      </rPr>
      <t>Add-LocalGroupMember</t>
    </r>
    <r>
      <rPr>
        <sz val="11"/>
        <color rgb="FF3F3B35"/>
        <rFont val="Courier New"/>
        <family val="3"/>
      </rPr>
      <t xml:space="preserve"> -</t>
    </r>
    <r>
      <rPr>
        <sz val="11"/>
        <color rgb="FF953800"/>
        <rFont val="Courier New"/>
        <family val="3"/>
      </rPr>
      <t>Group</t>
    </r>
    <r>
      <rPr>
        <sz val="11"/>
        <color rgb="FF3F3B35"/>
        <rFont val="Courier New"/>
        <family val="3"/>
      </rPr>
      <t xml:space="preserve"> </t>
    </r>
    <r>
      <rPr>
        <sz val="11"/>
        <color rgb="FF0A3069"/>
        <rFont val="Courier New"/>
        <family val="3"/>
      </rPr>
      <t>"Administrators"</t>
    </r>
    <r>
      <rPr>
        <sz val="11"/>
        <color rgb="FF3F3B35"/>
        <rFont val="Courier New"/>
        <family val="3"/>
      </rPr>
      <t xml:space="preserve"> -Member </t>
    </r>
    <r>
      <rPr>
        <sz val="11"/>
        <color rgb="FF0A3069"/>
        <rFont val="Courier New"/>
        <family val="3"/>
      </rPr>
      <t>"admin"</t>
    </r>
  </si>
  <si>
    <t>Altec driver</t>
  </si>
  <si>
    <t>Voor het toevoegen van printers van altec</t>
  </si>
  <si>
    <t>https://altec.nl/en/downloads/?srsltid=AfmBOoorS3CjJJnrXBbIPUqiA_9PRRCMg7AkCh4pY5RfrhdSvT2h7KcR</t>
  </si>
  <si>
    <t>URL</t>
  </si>
  <si>
    <t>Domain add</t>
  </si>
  <si>
    <t>Via terminal de device aan domein hangen</t>
  </si>
  <si>
    <t>Add-Computer -DomainName corp.vhe.nl -Credential corp.vhe.nl\admintimo -Restart</t>
  </si>
  <si>
    <t>Device rename</t>
  </si>
  <si>
    <t>Via terminal de devicenaam aanpassen</t>
  </si>
  <si>
    <r>
      <t>Rename-Computer</t>
    </r>
    <r>
      <rPr>
        <sz val="11"/>
        <color rgb="FF3F3B35"/>
        <rFont val="Courier New"/>
        <family val="3"/>
      </rPr>
      <t xml:space="preserve"> -NewName </t>
    </r>
    <r>
      <rPr>
        <sz val="11"/>
        <color rgb="FF0A3069"/>
        <rFont val="Courier New"/>
        <family val="3"/>
      </rPr>
      <t>"DESKTOP-JANN"</t>
    </r>
  </si>
  <si>
    <t>Sharepoint site maken voor fileshare</t>
  </si>
  <si>
    <t>Iedereen krijgt hiermee de templates te zien</t>
  </si>
  <si>
    <t>https://www.youtube.com/watch?v=qkLSwOurOOc</t>
  </si>
  <si>
    <t>Sharepoint powershell installer</t>
  </si>
  <si>
    <t>Voor het verbinden naar een site moet je deze powershell gebruiken</t>
  </si>
  <si>
    <t>https://www.youtube.com/watch?v=6tdrzbB0bZA</t>
  </si>
  <si>
    <t>Ophalen van alle printers op de fs01-vhe</t>
  </si>
  <si>
    <t>Get-Printer -ComputerName fs01-vhe</t>
  </si>
  <si>
    <t>Powershell</t>
  </si>
  <si>
    <t>Tijdzone instellen</t>
  </si>
  <si>
    <t>VHE ASIA</t>
  </si>
  <si>
    <t># Tijdzone instellen (Maleisië = UTC+8, valt onder Windows-ID "Singapore Standard Time")
Set-TimeZone -Id "Singapore Standard Time"
# Controleren
Get-TimeZone
# Tijdsynchronisatie forceren
Stop-Service w32time
Start-Service w32time
w32tm /resync /force
# Status controleren
w32tm /query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</si>
</sst>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theme="1"/>
      <name val="Aptos"/>
      <family val="2"/>
    </font>
    <font>
      <sz val="11"/>
      <color theme="1"/>
      <name val="Calibri"/>
      <family val="2"/>
    </font>
    <font>
      <u/>
      <sz val="11"/>
      <color theme="10"/>
      <name val="Aptos Narrow"/>
      <family val="2"/>
      <scheme val="minor"/>
    </font>
    <font>
      <u/>
      <sz val="36"/>
      <color theme="10"/>
      <name val="Aptos Narrow"/>
      <family val="2"/>
      <scheme val="minor"/>
    </font>
    <font>
      <sz val="10"/>
      <color theme="1"/>
      <name val="Tahoma"/>
      <family val="2"/>
    </font>
    <font>
      <strike/>
      <sz val="11"/>
      <color theme="1"/>
      <name val="Aptos Narrow"/>
      <family val="2"/>
      <scheme val="minor"/>
    </font>
    <font>
      <sz val="11"/>
      <color rgb="FF000000"/>
      <name val="Calibri"/>
      <family val="2"/>
    </font>
    <font>
      <sz val="8"/>
      <color rgb="FFD6D0C8"/>
      <name val="Courier New"/>
      <family val="3"/>
    </font>
    <font>
      <sz val="11"/>
      <color rgb="FF3F3B35"/>
      <name val="Courier New"/>
      <family val="3"/>
    </font>
    <font>
      <sz val="11"/>
      <color rgb="FF0550AE"/>
      <name val="Courier New"/>
      <family val="3"/>
    </font>
    <font>
      <sz val="11"/>
      <color rgb="FF953800"/>
      <name val="Courier New"/>
      <family val="3"/>
    </font>
    <font>
      <sz val="11"/>
      <color rgb="FF0A3069"/>
      <name val="Courier New"/>
      <family val="3"/>
    </font>
    <font>
      <sz val="9.9"/>
      <color rgb="FF333D42"/>
      <name val="Consolas"/>
      <family val="3"/>
    </font>
    <font>
      <sz val="11"/>
      <color rgb="FF000000"/>
      <name val="Aptos Narrow"/>
      <family val="2"/>
      <scheme val="minor"/>
    </font>
  </fonts>
  <fills count="2">
    <fill>
      <patternFill patternType="none"/>
    </fill>
    <fill>
      <patternFill patternType="gray125"/>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E4E4E4"/>
      </left>
      <right style="medium">
        <color rgb="FFE4E4E4"/>
      </right>
      <top style="medium">
        <color rgb="FFE4E4E4"/>
      </top>
      <bottom style="medium">
        <color rgb="FFE4E4E4"/>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1" fillId="0" borderId="0" xfId="0" applyFont="1" applyAlignment="1">
      <alignment vertical="center"/>
    </xf>
    <xf numFmtId="0" fontId="1" fillId="0" borderId="0" xfId="0" applyFont="1"/>
    <xf numFmtId="0" fontId="2" fillId="0" borderId="0" xfId="0" applyFont="1"/>
    <xf numFmtId="14" fontId="0" fillId="0" borderId="0" xfId="0" applyNumberFormat="1"/>
    <xf numFmtId="20" fontId="0" fillId="0" borderId="0" xfId="0" applyNumberFormat="1"/>
    <xf numFmtId="0" fontId="5" fillId="0" borderId="0" xfId="0" applyFont="1" applyAlignment="1">
      <alignment vertical="center"/>
    </xf>
    <xf numFmtId="0" fontId="6" fillId="0" borderId="0" xfId="0" applyFont="1"/>
    <xf numFmtId="14" fontId="6" fillId="0" borderId="0" xfId="0" applyNumberFormat="1" applyFont="1"/>
    <xf numFmtId="0" fontId="7" fillId="0" borderId="0" xfId="0" applyFont="1"/>
    <xf numFmtId="0" fontId="2" fillId="0" borderId="0" xfId="0" applyFont="1" applyAlignment="1">
      <alignment horizontal="left" vertical="center"/>
    </xf>
    <xf numFmtId="0" fontId="7" fillId="0" borderId="0" xfId="0" applyFont="1" applyAlignment="1">
      <alignment horizontal="left" vertical="center"/>
    </xf>
    <xf numFmtId="0" fontId="8" fillId="0" borderId="0" xfId="0" applyFont="1"/>
    <xf numFmtId="0" fontId="10" fillId="0" borderId="0" xfId="0" applyFont="1"/>
    <xf numFmtId="0" fontId="13" fillId="0" borderId="9" xfId="0" applyFont="1" applyBorder="1" applyAlignment="1">
      <alignment vertical="center"/>
    </xf>
    <xf numFmtId="0" fontId="11" fillId="0" borderId="0" xfId="0" applyFont="1"/>
    <xf numFmtId="0" fontId="0" fillId="0" borderId="0" xfId="0" applyAlignment="1">
      <alignment wrapText="1"/>
    </xf>
    <xf numFmtId="14" fontId="14" fillId="0" borderId="0" xfId="0" applyNumberFormat="1" applyFont="1"/>
    <xf numFmtId="0" fontId="4" fillId="0" borderId="1" xfId="1" applyFont="1" applyBorder="1" applyAlignment="1">
      <alignment horizontal="center"/>
    </xf>
    <xf numFmtId="0" fontId="4" fillId="0" borderId="2" xfId="1" applyFont="1" applyBorder="1" applyAlignment="1">
      <alignment horizontal="center"/>
    </xf>
    <xf numFmtId="0" fontId="4" fillId="0" borderId="3" xfId="1" applyFont="1" applyBorder="1" applyAlignment="1">
      <alignment horizontal="center"/>
    </xf>
    <xf numFmtId="0" fontId="4" fillId="0" borderId="4" xfId="1" applyFont="1" applyBorder="1" applyAlignment="1">
      <alignment horizontal="center"/>
    </xf>
    <xf numFmtId="0" fontId="4" fillId="0" borderId="0" xfId="1" applyFont="1" applyBorder="1" applyAlignment="1">
      <alignment horizontal="center"/>
    </xf>
    <xf numFmtId="0" fontId="4" fillId="0" borderId="5" xfId="1" applyFont="1" applyBorder="1" applyAlignment="1">
      <alignment horizontal="center"/>
    </xf>
    <xf numFmtId="0" fontId="4" fillId="0" borderId="6" xfId="1" applyFont="1" applyBorder="1" applyAlignment="1">
      <alignment horizontal="center"/>
    </xf>
    <xf numFmtId="0" fontId="4" fillId="0" borderId="7" xfId="1" applyFont="1" applyBorder="1" applyAlignment="1">
      <alignment horizontal="center"/>
    </xf>
    <xf numFmtId="0" fontId="4" fillId="0" borderId="8" xfId="1" applyFont="1" applyBorder="1" applyAlignment="1">
      <alignment horizontal="center"/>
    </xf>
  </cellXfs>
  <cellStyles count="2">
    <cellStyle name="Hyperlink" xfId="1" builtinId="8"/>
    <cellStyle name="Standaard"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500-000000000000}" autoFormatId="16" applyNumberFormats="0" applyBorderFormats="0" applyFontFormats="0" applyPatternFormats="0" applyAlignmentFormats="0" applyWidthHeightFormats="0">
  <queryTableRefresh nextId="8">
    <queryTableFields count="7">
      <queryTableField id="1" name="Name" tableColumnId="1"/>
      <queryTableField id="2" name="ComputerName" tableColumnId="2"/>
      <queryTableField id="3" name="Type" tableColumnId="3"/>
      <queryTableField id="4" name="DriverName" tableColumnId="4"/>
      <queryTableField id="5" name="PortName" tableColumnId="5"/>
      <queryTableField id="6" name="Shared" tableColumnId="6"/>
      <queryTableField id="7" name="Published"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502D25-3648-4A12-B02F-C317719A472A}" name="printers" displayName="printers" ref="A1:G28" tableType="queryTable" totalsRowShown="0">
  <autoFilter ref="A1:G28" xr:uid="{5E502D25-3648-4A12-B02F-C317719A472A}"/>
  <sortState xmlns:xlrd2="http://schemas.microsoft.com/office/spreadsheetml/2017/richdata2" ref="A2:G28">
    <sortCondition ref="A1:A28"/>
  </sortState>
  <tableColumns count="7">
    <tableColumn id="1" xr3:uid="{589EFA00-79F7-4911-A340-C77E1232337D}" uniqueName="1" name="Name" queryTableFieldId="1" dataDxfId="4"/>
    <tableColumn id="2" xr3:uid="{6DFF59C1-6234-44ED-BCB1-CEA5346AA097}" uniqueName="2" name="ComputerName" queryTableFieldId="2" dataDxfId="3"/>
    <tableColumn id="3" xr3:uid="{F3D91508-5756-4686-871B-CA36C07B1745}" uniqueName="3" name="Type" queryTableFieldId="3" dataDxfId="2"/>
    <tableColumn id="4" xr3:uid="{F03A6705-4AC0-4877-872F-9CC081C8FDCB}" uniqueName="4" name="DriverName" queryTableFieldId="4" dataDxfId="1"/>
    <tableColumn id="5" xr3:uid="{189E31E6-0F4B-42EC-85FB-7C87119F1945}" uniqueName="5" name="PortName" queryTableFieldId="5" dataDxfId="0"/>
    <tableColumn id="6" xr3:uid="{11F13195-0B90-4681-A08D-A357358C2CFC}" uniqueName="6" name="Shared" queryTableFieldId="6"/>
    <tableColumn id="7" xr3:uid="{0A6ECE6A-341F-4D6E-B7D1-67FCAA5EA253}" uniqueName="7" name="Published" queryTableFieldId="7"/>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todoist.com/app/project/it-werkzaamheden-6gcXjcRHGXjqv9x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9EA2-94CD-4424-81C4-EAB0B45FB80D}">
  <dimension ref="B1:D14"/>
  <sheetViews>
    <sheetView workbookViewId="0">
      <selection activeCell="C19" sqref="C19"/>
    </sheetView>
  </sheetViews>
  <sheetFormatPr defaultRowHeight="15"/>
  <cols>
    <col min="2" max="2" width="22.42578125" customWidth="1"/>
    <col min="3" max="3" width="20.5703125" customWidth="1"/>
    <col min="4" max="4" width="20.28515625" customWidth="1"/>
  </cols>
  <sheetData>
    <row r="1" spans="2:4" ht="15.75" thickBot="1"/>
    <row r="2" spans="2:4">
      <c r="B2" s="18" t="s">
        <v>0</v>
      </c>
      <c r="C2" s="19"/>
      <c r="D2" s="20"/>
    </row>
    <row r="3" spans="2:4">
      <c r="B3" s="21"/>
      <c r="C3" s="22"/>
      <c r="D3" s="23"/>
    </row>
    <row r="4" spans="2:4" ht="15.75" thickBot="1">
      <c r="B4" s="24"/>
      <c r="C4" s="25"/>
      <c r="D4" s="26"/>
    </row>
    <row r="6" spans="2:4">
      <c r="B6" t="s">
        <v>1</v>
      </c>
      <c r="C6">
        <f>COUNTA(Opdrachtgevers!A2:A40)</f>
        <v>16</v>
      </c>
    </row>
    <row r="7" spans="2:4">
      <c r="B7" t="s">
        <v>2</v>
      </c>
      <c r="C7">
        <f>(COUNT(Taken!H2:H300))</f>
        <v>74</v>
      </c>
    </row>
    <row r="8" spans="2:4">
      <c r="B8" t="s">
        <v>3</v>
      </c>
      <c r="C8">
        <f>(COUNT(Taken!H2:H300)-SUM(Taken!H2:H300))</f>
        <v>20</v>
      </c>
    </row>
    <row r="9" spans="2:4">
      <c r="B9" t="s">
        <v>4</v>
      </c>
      <c r="C9">
        <f>(SUM(Taken!H2:H300))</f>
        <v>54</v>
      </c>
    </row>
    <row r="10" spans="2:4">
      <c r="B10" t="s">
        <v>5</v>
      </c>
      <c r="C10" t="s">
        <v>6</v>
      </c>
    </row>
    <row r="14" spans="2:4">
      <c r="B14" s="12"/>
    </row>
  </sheetData>
  <mergeCells count="1">
    <mergeCell ref="B2:D4"/>
  </mergeCells>
  <hyperlinks>
    <hyperlink ref="B2:D4" r:id="rId1" display="TODOIST" xr:uid="{16B8F351-CCA6-469F-87BD-4F4494303967}"/>
  </hyperlinks>
  <pageMargins left="0.7" right="0.7" top="0.75" bottom="0.75" header="0.3" footer="0.3"/>
  <pageSetup paperSize="8"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1A11-5F28-48C0-BD1B-D0CDE44600A8}">
  <dimension ref="A1:D18"/>
  <sheetViews>
    <sheetView workbookViewId="0">
      <selection activeCell="B1" sqref="B1:B1048576"/>
    </sheetView>
  </sheetViews>
  <sheetFormatPr defaultRowHeight="15"/>
  <cols>
    <col min="1" max="1" width="21.85546875" bestFit="1" customWidth="1"/>
    <col min="2" max="2" width="12.5703125" bestFit="1" customWidth="1"/>
    <col min="3" max="3" width="9.42578125" bestFit="1" customWidth="1"/>
  </cols>
  <sheetData>
    <row r="1" spans="1:4">
      <c r="A1" t="s">
        <v>7</v>
      </c>
      <c r="B1" t="s">
        <v>8</v>
      </c>
      <c r="C1" t="s">
        <v>9</v>
      </c>
      <c r="D1" t="s">
        <v>10</v>
      </c>
    </row>
    <row r="2" spans="1:4">
      <c r="A2" s="1" t="s">
        <v>11</v>
      </c>
      <c r="B2" t="s">
        <v>12</v>
      </c>
      <c r="C2" s="4">
        <v>46149</v>
      </c>
      <c r="D2" s="5">
        <v>0.47916666666666669</v>
      </c>
    </row>
    <row r="3" spans="1:4">
      <c r="A3" s="2" t="s">
        <v>13</v>
      </c>
      <c r="B3" t="s">
        <v>12</v>
      </c>
      <c r="C3" s="4">
        <v>46149</v>
      </c>
      <c r="D3" s="5">
        <v>0.56944444444444442</v>
      </c>
    </row>
    <row r="4" spans="1:4">
      <c r="A4" t="s">
        <v>14</v>
      </c>
      <c r="B4" t="s">
        <v>12</v>
      </c>
      <c r="C4" s="4">
        <v>46149</v>
      </c>
      <c r="D4" s="5">
        <v>0.44791666666666669</v>
      </c>
    </row>
    <row r="5" spans="1:4">
      <c r="A5" s="3" t="s">
        <v>15</v>
      </c>
      <c r="B5" t="s">
        <v>12</v>
      </c>
      <c r="C5" s="4">
        <v>46149</v>
      </c>
      <c r="D5" s="5">
        <v>0.46875</v>
      </c>
    </row>
    <row r="6" spans="1:4">
      <c r="A6" s="2" t="s">
        <v>16</v>
      </c>
      <c r="B6" t="s">
        <v>12</v>
      </c>
      <c r="C6" s="4">
        <v>46149</v>
      </c>
      <c r="D6" s="5">
        <v>0.4375</v>
      </c>
    </row>
    <row r="7" spans="1:4">
      <c r="A7" s="3" t="s">
        <v>17</v>
      </c>
      <c r="B7" t="s">
        <v>12</v>
      </c>
      <c r="C7" s="4">
        <v>46149</v>
      </c>
      <c r="D7" s="5">
        <v>0.45833333333333331</v>
      </c>
    </row>
    <row r="8" spans="1:4">
      <c r="A8" s="2" t="s">
        <v>18</v>
      </c>
      <c r="B8" t="s">
        <v>12</v>
      </c>
      <c r="C8" s="4">
        <v>46149</v>
      </c>
      <c r="D8" s="5">
        <v>0.51041666666666663</v>
      </c>
    </row>
    <row r="9" spans="1:4">
      <c r="A9" s="1" t="s">
        <v>19</v>
      </c>
      <c r="B9" t="s">
        <v>12</v>
      </c>
      <c r="C9" s="4">
        <v>46153</v>
      </c>
      <c r="D9" s="5">
        <v>0.47916666666666669</v>
      </c>
    </row>
    <row r="10" spans="1:4">
      <c r="A10" s="2" t="s">
        <v>20</v>
      </c>
      <c r="B10" t="s">
        <v>12</v>
      </c>
      <c r="C10" s="4">
        <v>46153</v>
      </c>
      <c r="D10" s="5">
        <v>0.48958333333333331</v>
      </c>
    </row>
    <row r="11" spans="1:4">
      <c r="A11" s="3" t="s">
        <v>21</v>
      </c>
      <c r="B11" t="s">
        <v>12</v>
      </c>
      <c r="C11" s="4">
        <v>46154</v>
      </c>
      <c r="D11" s="5">
        <v>0.48958333333333331</v>
      </c>
    </row>
    <row r="12" spans="1:4">
      <c r="A12" s="3" t="s">
        <v>22</v>
      </c>
      <c r="B12" t="s">
        <v>12</v>
      </c>
      <c r="C12" s="4">
        <v>46154</v>
      </c>
      <c r="D12" s="5">
        <v>0.5</v>
      </c>
    </row>
    <row r="13" spans="1:4">
      <c r="A13" s="1" t="s">
        <v>23</v>
      </c>
      <c r="B13" t="s">
        <v>12</v>
      </c>
      <c r="C13" s="4">
        <v>46154</v>
      </c>
      <c r="D13" s="5">
        <v>0.60416666666666663</v>
      </c>
    </row>
    <row r="14" spans="1:4">
      <c r="A14" s="2" t="s">
        <v>24</v>
      </c>
      <c r="B14" t="s">
        <v>12</v>
      </c>
      <c r="C14" s="4">
        <v>46157</v>
      </c>
      <c r="D14" s="5">
        <v>0.35416666666666669</v>
      </c>
    </row>
    <row r="15" spans="1:4">
      <c r="A15" s="1" t="s">
        <v>25</v>
      </c>
      <c r="B15" t="s">
        <v>12</v>
      </c>
      <c r="C15" s="4">
        <v>46161</v>
      </c>
      <c r="D15" s="5">
        <v>0.64583333333333337</v>
      </c>
    </row>
    <row r="16" spans="1:4">
      <c r="A16" s="3" t="s">
        <v>26</v>
      </c>
      <c r="B16" t="s">
        <v>12</v>
      </c>
      <c r="C16" s="4">
        <v>46161</v>
      </c>
      <c r="D16" s="5">
        <v>0.4375</v>
      </c>
    </row>
    <row r="17" spans="1:4">
      <c r="A17" s="3" t="s">
        <v>27</v>
      </c>
      <c r="B17" t="s">
        <v>28</v>
      </c>
      <c r="C17" s="4">
        <v>46168</v>
      </c>
      <c r="D17" s="5">
        <v>0.41666666666666669</v>
      </c>
    </row>
    <row r="18" spans="1:4">
      <c r="A18" s="1"/>
      <c r="C18" s="4"/>
    </row>
  </sheetData>
  <autoFilter ref="A1:D1" xr:uid="{44941A11-5F28-48C0-BD1B-D0CDE44600A8}">
    <sortState xmlns:xlrd2="http://schemas.microsoft.com/office/spreadsheetml/2017/richdata2" ref="A2:D18">
      <sortCondition ref="C1"/>
    </sortState>
  </autoFilter>
  <pageMargins left="0.7" right="0.7" top="0.75" bottom="0.75"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B5C28-78FC-47E8-BEE7-E55113C48D82}">
  <sheetPr filterMode="1"/>
  <dimension ref="A1:L75"/>
  <sheetViews>
    <sheetView tabSelected="1" workbookViewId="0">
      <selection activeCell="H75" sqref="H75"/>
    </sheetView>
  </sheetViews>
  <sheetFormatPr defaultRowHeight="15"/>
  <cols>
    <col min="1" max="1" width="20.140625" bestFit="1" customWidth="1"/>
    <col min="2" max="2" width="55.140625" bestFit="1" customWidth="1"/>
    <col min="3" max="3" width="13.42578125" customWidth="1"/>
    <col min="4" max="4" width="11" bestFit="1" customWidth="1"/>
    <col min="5" max="5" width="10.85546875" bestFit="1" customWidth="1"/>
    <col min="6" max="6" width="15.5703125" bestFit="1" customWidth="1"/>
    <col min="7" max="7" width="11.42578125" bestFit="1" customWidth="1"/>
    <col min="9" max="9" width="9.42578125" bestFit="1" customWidth="1"/>
    <col min="10" max="10" width="19.85546875" bestFit="1" customWidth="1"/>
  </cols>
  <sheetData>
    <row r="1" spans="1:12">
      <c r="A1" t="s">
        <v>29</v>
      </c>
      <c r="B1" t="s">
        <v>30</v>
      </c>
      <c r="C1" t="s">
        <v>31</v>
      </c>
      <c r="D1" t="s">
        <v>32</v>
      </c>
      <c r="E1" t="s">
        <v>33</v>
      </c>
      <c r="F1" t="s">
        <v>34</v>
      </c>
      <c r="G1" t="s">
        <v>35</v>
      </c>
      <c r="H1" t="s">
        <v>36</v>
      </c>
      <c r="I1" t="s">
        <v>37</v>
      </c>
      <c r="J1" t="s">
        <v>38</v>
      </c>
      <c r="K1" t="s">
        <v>39</v>
      </c>
      <c r="L1" t="s">
        <v>40</v>
      </c>
    </row>
    <row r="2" spans="1:12" hidden="1">
      <c r="A2" t="s">
        <v>41</v>
      </c>
      <c r="B2" t="s">
        <v>42</v>
      </c>
      <c r="C2" t="s">
        <v>43</v>
      </c>
      <c r="D2" t="s">
        <v>44</v>
      </c>
      <c r="E2" t="s">
        <v>45</v>
      </c>
      <c r="F2" t="s">
        <v>46</v>
      </c>
      <c r="G2">
        <v>0</v>
      </c>
      <c r="H2">
        <v>0</v>
      </c>
      <c r="I2" s="4">
        <v>46149</v>
      </c>
      <c r="K2" t="s">
        <v>47</v>
      </c>
    </row>
    <row r="3" spans="1:12" hidden="1">
      <c r="A3" t="s">
        <v>48</v>
      </c>
      <c r="B3" t="s">
        <v>49</v>
      </c>
      <c r="C3" t="s">
        <v>50</v>
      </c>
      <c r="D3" t="s">
        <v>51</v>
      </c>
      <c r="E3" t="s">
        <v>45</v>
      </c>
      <c r="F3" t="s">
        <v>52</v>
      </c>
      <c r="G3">
        <v>30</v>
      </c>
      <c r="H3">
        <v>0</v>
      </c>
      <c r="I3" s="4">
        <v>46149</v>
      </c>
      <c r="K3" t="s">
        <v>47</v>
      </c>
    </row>
    <row r="4" spans="1:12" hidden="1">
      <c r="A4" t="s">
        <v>48</v>
      </c>
      <c r="B4" t="s">
        <v>53</v>
      </c>
      <c r="D4" t="s">
        <v>51</v>
      </c>
      <c r="E4" t="s">
        <v>45</v>
      </c>
      <c r="F4" t="s">
        <v>54</v>
      </c>
      <c r="G4">
        <v>30</v>
      </c>
      <c r="H4">
        <v>0</v>
      </c>
      <c r="I4" s="4">
        <v>46149</v>
      </c>
      <c r="K4" t="s">
        <v>47</v>
      </c>
    </row>
    <row r="5" spans="1:12" hidden="1">
      <c r="A5" t="s">
        <v>55</v>
      </c>
      <c r="B5" t="s">
        <v>56</v>
      </c>
      <c r="C5" t="s">
        <v>57</v>
      </c>
      <c r="D5" t="s">
        <v>44</v>
      </c>
      <c r="E5" t="s">
        <v>45</v>
      </c>
      <c r="F5" t="s">
        <v>52</v>
      </c>
      <c r="G5">
        <v>30</v>
      </c>
      <c r="H5">
        <v>0</v>
      </c>
      <c r="I5" s="4">
        <v>46149</v>
      </c>
      <c r="K5" t="s">
        <v>47</v>
      </c>
      <c r="L5" t="s">
        <v>58</v>
      </c>
    </row>
    <row r="6" spans="1:12" hidden="1">
      <c r="A6" t="s">
        <v>48</v>
      </c>
      <c r="B6" t="s">
        <v>59</v>
      </c>
      <c r="C6" t="s">
        <v>60</v>
      </c>
      <c r="D6" t="s">
        <v>61</v>
      </c>
      <c r="E6" t="s">
        <v>62</v>
      </c>
      <c r="F6" t="s">
        <v>52</v>
      </c>
      <c r="G6">
        <v>60</v>
      </c>
      <c r="H6">
        <v>1</v>
      </c>
      <c r="I6" s="4">
        <v>46149</v>
      </c>
      <c r="L6" t="s">
        <v>63</v>
      </c>
    </row>
    <row r="7" spans="1:12">
      <c r="A7" t="s">
        <v>48</v>
      </c>
      <c r="B7" t="s">
        <v>64</v>
      </c>
      <c r="D7" t="s">
        <v>65</v>
      </c>
      <c r="E7" t="s">
        <v>45</v>
      </c>
      <c r="F7" t="s">
        <v>66</v>
      </c>
      <c r="G7">
        <v>0</v>
      </c>
      <c r="H7">
        <v>0</v>
      </c>
      <c r="I7" s="4">
        <v>46149</v>
      </c>
      <c r="L7" t="s">
        <v>67</v>
      </c>
    </row>
    <row r="8" spans="1:12" hidden="1">
      <c r="A8" t="s">
        <v>55</v>
      </c>
      <c r="B8" t="s">
        <v>68</v>
      </c>
      <c r="C8" t="s">
        <v>69</v>
      </c>
      <c r="D8" t="s">
        <v>70</v>
      </c>
      <c r="E8" t="s">
        <v>45</v>
      </c>
      <c r="F8" t="s">
        <v>71</v>
      </c>
      <c r="G8">
        <v>15</v>
      </c>
      <c r="H8">
        <v>1</v>
      </c>
      <c r="I8" s="4">
        <v>46149</v>
      </c>
      <c r="L8" t="s">
        <v>72</v>
      </c>
    </row>
    <row r="9" spans="1:12" hidden="1">
      <c r="A9" t="s">
        <v>73</v>
      </c>
      <c r="B9" t="s">
        <v>74</v>
      </c>
      <c r="C9" t="s">
        <v>75</v>
      </c>
      <c r="D9" t="s">
        <v>76</v>
      </c>
      <c r="E9" t="s">
        <v>62</v>
      </c>
      <c r="F9" t="s">
        <v>52</v>
      </c>
      <c r="G9">
        <v>45</v>
      </c>
      <c r="H9">
        <v>1</v>
      </c>
      <c r="I9" s="4">
        <v>46149</v>
      </c>
      <c r="K9" t="s">
        <v>77</v>
      </c>
      <c r="L9" t="s">
        <v>78</v>
      </c>
    </row>
    <row r="10" spans="1:12" hidden="1">
      <c r="A10" t="s">
        <v>41</v>
      </c>
      <c r="B10" t="s">
        <v>79</v>
      </c>
      <c r="C10" t="s">
        <v>80</v>
      </c>
      <c r="E10" t="s">
        <v>45</v>
      </c>
      <c r="F10" t="s">
        <v>54</v>
      </c>
      <c r="G10">
        <v>15</v>
      </c>
      <c r="H10">
        <v>1</v>
      </c>
      <c r="I10" s="4">
        <v>46149</v>
      </c>
    </row>
    <row r="11" spans="1:12" hidden="1">
      <c r="A11" t="s">
        <v>41</v>
      </c>
      <c r="B11" t="s">
        <v>81</v>
      </c>
      <c r="C11" t="s">
        <v>82</v>
      </c>
      <c r="D11" t="s">
        <v>83</v>
      </c>
      <c r="E11" t="s">
        <v>45</v>
      </c>
      <c r="F11" t="s">
        <v>71</v>
      </c>
      <c r="G11">
        <v>30</v>
      </c>
      <c r="H11">
        <v>1</v>
      </c>
      <c r="I11" s="4">
        <v>46149</v>
      </c>
      <c r="L11" t="s">
        <v>84</v>
      </c>
    </row>
    <row r="12" spans="1:12" hidden="1">
      <c r="A12" t="s">
        <v>41</v>
      </c>
      <c r="B12" t="s">
        <v>85</v>
      </c>
      <c r="C12" t="s">
        <v>86</v>
      </c>
      <c r="E12" t="s">
        <v>45</v>
      </c>
      <c r="F12" t="s">
        <v>54</v>
      </c>
      <c r="G12">
        <v>60</v>
      </c>
      <c r="H12">
        <v>1</v>
      </c>
      <c r="I12" s="4">
        <v>46149</v>
      </c>
      <c r="L12" t="s">
        <v>87</v>
      </c>
    </row>
    <row r="13" spans="1:12" hidden="1">
      <c r="A13" t="s">
        <v>48</v>
      </c>
      <c r="B13" t="s">
        <v>88</v>
      </c>
      <c r="C13" t="s">
        <v>89</v>
      </c>
      <c r="E13" t="s">
        <v>45</v>
      </c>
      <c r="F13" t="s">
        <v>90</v>
      </c>
      <c r="G13">
        <v>15</v>
      </c>
      <c r="H13">
        <v>1</v>
      </c>
      <c r="I13" s="4">
        <v>46149</v>
      </c>
    </row>
    <row r="14" spans="1:12" hidden="1">
      <c r="A14" t="s">
        <v>77</v>
      </c>
      <c r="B14" t="s">
        <v>91</v>
      </c>
      <c r="C14" t="s">
        <v>92</v>
      </c>
      <c r="D14" t="s">
        <v>44</v>
      </c>
      <c r="E14" t="s">
        <v>45</v>
      </c>
      <c r="F14" t="s">
        <v>54</v>
      </c>
      <c r="G14">
        <v>30</v>
      </c>
      <c r="H14">
        <v>1</v>
      </c>
      <c r="I14" s="4">
        <v>46149</v>
      </c>
      <c r="L14" t="s">
        <v>93</v>
      </c>
    </row>
    <row r="15" spans="1:12" hidden="1">
      <c r="A15" t="s">
        <v>41</v>
      </c>
      <c r="B15" t="s">
        <v>94</v>
      </c>
      <c r="C15" t="s">
        <v>95</v>
      </c>
      <c r="D15" t="s">
        <v>83</v>
      </c>
      <c r="E15" t="s">
        <v>45</v>
      </c>
      <c r="F15" t="s">
        <v>90</v>
      </c>
      <c r="G15">
        <v>60</v>
      </c>
      <c r="H15">
        <v>1</v>
      </c>
      <c r="I15" s="4">
        <v>46149</v>
      </c>
    </row>
    <row r="16" spans="1:12" hidden="1">
      <c r="A16" t="s">
        <v>77</v>
      </c>
      <c r="B16" t="s">
        <v>96</v>
      </c>
      <c r="C16" t="s">
        <v>97</v>
      </c>
      <c r="D16" t="s">
        <v>44</v>
      </c>
      <c r="E16" t="s">
        <v>62</v>
      </c>
      <c r="F16" t="s">
        <v>71</v>
      </c>
      <c r="G16">
        <v>60</v>
      </c>
      <c r="H16">
        <v>1</v>
      </c>
      <c r="I16" s="4">
        <v>46149</v>
      </c>
      <c r="L16" t="s">
        <v>98</v>
      </c>
    </row>
    <row r="17" spans="1:12" hidden="1">
      <c r="A17" t="s">
        <v>77</v>
      </c>
      <c r="B17" t="s">
        <v>99</v>
      </c>
      <c r="C17" t="s">
        <v>100</v>
      </c>
      <c r="D17" t="s">
        <v>76</v>
      </c>
      <c r="E17" t="s">
        <v>45</v>
      </c>
      <c r="F17" t="s">
        <v>54</v>
      </c>
      <c r="G17">
        <v>90</v>
      </c>
      <c r="H17">
        <v>1</v>
      </c>
      <c r="I17" s="4">
        <v>46149</v>
      </c>
    </row>
    <row r="18" spans="1:12" hidden="1">
      <c r="A18" t="s">
        <v>55</v>
      </c>
      <c r="B18" t="s">
        <v>101</v>
      </c>
      <c r="C18" t="s">
        <v>102</v>
      </c>
      <c r="D18" t="s">
        <v>103</v>
      </c>
      <c r="E18" t="s">
        <v>45</v>
      </c>
      <c r="F18" t="s">
        <v>52</v>
      </c>
      <c r="G18">
        <v>30</v>
      </c>
      <c r="H18">
        <v>1</v>
      </c>
      <c r="I18" s="4">
        <v>46149</v>
      </c>
    </row>
    <row r="19" spans="1:12" hidden="1">
      <c r="A19" t="s">
        <v>55</v>
      </c>
      <c r="B19" t="s">
        <v>104</v>
      </c>
      <c r="C19" t="s">
        <v>105</v>
      </c>
      <c r="D19" t="s">
        <v>103</v>
      </c>
      <c r="E19" t="s">
        <v>62</v>
      </c>
      <c r="F19" t="s">
        <v>106</v>
      </c>
      <c r="G19">
        <v>120</v>
      </c>
      <c r="H19">
        <v>1</v>
      </c>
      <c r="I19" s="4">
        <v>46149</v>
      </c>
      <c r="L19" t="s">
        <v>107</v>
      </c>
    </row>
    <row r="20" spans="1:12" hidden="1">
      <c r="A20" t="s">
        <v>108</v>
      </c>
      <c r="B20" t="s">
        <v>109</v>
      </c>
      <c r="C20" t="s">
        <v>110</v>
      </c>
      <c r="D20" t="s">
        <v>111</v>
      </c>
      <c r="E20" t="s">
        <v>62</v>
      </c>
      <c r="F20" t="s">
        <v>71</v>
      </c>
      <c r="G20">
        <v>5</v>
      </c>
      <c r="H20">
        <v>1</v>
      </c>
      <c r="I20" s="4">
        <v>46149</v>
      </c>
    </row>
    <row r="21" spans="1:12" hidden="1">
      <c r="A21" s="7" t="s">
        <v>112</v>
      </c>
      <c r="B21" s="7" t="s">
        <v>113</v>
      </c>
      <c r="C21" s="7" t="s">
        <v>114</v>
      </c>
      <c r="D21" s="7"/>
      <c r="E21" s="7" t="s">
        <v>115</v>
      </c>
      <c r="F21" s="7" t="s">
        <v>66</v>
      </c>
      <c r="G21" s="7">
        <v>0</v>
      </c>
      <c r="H21" s="7">
        <v>1</v>
      </c>
      <c r="I21" s="8">
        <v>46149</v>
      </c>
    </row>
    <row r="22" spans="1:12" hidden="1">
      <c r="A22" t="s">
        <v>116</v>
      </c>
      <c r="B22" t="s">
        <v>117</v>
      </c>
      <c r="D22" t="s">
        <v>118</v>
      </c>
      <c r="E22" t="s">
        <v>45</v>
      </c>
      <c r="F22" t="s">
        <v>106</v>
      </c>
      <c r="G22">
        <v>30</v>
      </c>
      <c r="H22">
        <v>1</v>
      </c>
      <c r="I22" s="4">
        <v>46149</v>
      </c>
    </row>
    <row r="23" spans="1:12" hidden="1">
      <c r="A23" t="s">
        <v>116</v>
      </c>
      <c r="B23" t="s">
        <v>119</v>
      </c>
      <c r="D23" t="s">
        <v>120</v>
      </c>
      <c r="E23" t="s">
        <v>45</v>
      </c>
      <c r="F23" t="s">
        <v>66</v>
      </c>
      <c r="G23">
        <v>60</v>
      </c>
      <c r="H23">
        <v>1</v>
      </c>
      <c r="I23" s="4">
        <v>46149</v>
      </c>
    </row>
    <row r="24" spans="1:12" hidden="1">
      <c r="A24" t="s">
        <v>116</v>
      </c>
      <c r="B24" t="s">
        <v>121</v>
      </c>
      <c r="D24" t="s">
        <v>122</v>
      </c>
      <c r="E24" t="s">
        <v>45</v>
      </c>
      <c r="F24" t="s">
        <v>52</v>
      </c>
      <c r="G24">
        <v>60</v>
      </c>
      <c r="H24">
        <v>1</v>
      </c>
      <c r="I24" s="4">
        <v>46149</v>
      </c>
    </row>
    <row r="25" spans="1:12">
      <c r="A25" s="1" t="s">
        <v>123</v>
      </c>
      <c r="B25" t="s">
        <v>124</v>
      </c>
      <c r="D25" t="s">
        <v>44</v>
      </c>
      <c r="E25" t="s">
        <v>125</v>
      </c>
      <c r="F25" t="s">
        <v>106</v>
      </c>
      <c r="G25">
        <v>60</v>
      </c>
      <c r="H25">
        <v>0</v>
      </c>
      <c r="I25" s="4">
        <v>46153</v>
      </c>
      <c r="L25" t="s">
        <v>126</v>
      </c>
    </row>
    <row r="26" spans="1:12" hidden="1">
      <c r="A26" s="1" t="s">
        <v>123</v>
      </c>
      <c r="B26" t="s">
        <v>127</v>
      </c>
      <c r="C26" t="s">
        <v>128</v>
      </c>
      <c r="D26" t="s">
        <v>129</v>
      </c>
      <c r="E26" t="s">
        <v>45</v>
      </c>
      <c r="F26" t="s">
        <v>54</v>
      </c>
      <c r="G26">
        <v>30</v>
      </c>
      <c r="H26">
        <v>1</v>
      </c>
      <c r="I26" s="4">
        <v>46153</v>
      </c>
      <c r="L26" t="s">
        <v>130</v>
      </c>
    </row>
    <row r="27" spans="1:12" hidden="1">
      <c r="A27" s="1" t="s">
        <v>123</v>
      </c>
      <c r="B27" t="s">
        <v>131</v>
      </c>
      <c r="C27" t="s">
        <v>132</v>
      </c>
      <c r="D27" t="s">
        <v>70</v>
      </c>
      <c r="E27" t="s">
        <v>62</v>
      </c>
      <c r="F27" t="s">
        <v>106</v>
      </c>
      <c r="G27">
        <v>60</v>
      </c>
      <c r="H27">
        <v>1</v>
      </c>
      <c r="I27" s="4">
        <v>46153</v>
      </c>
    </row>
    <row r="28" spans="1:12" hidden="1">
      <c r="A28" s="1" t="s">
        <v>123</v>
      </c>
      <c r="B28" t="s">
        <v>133</v>
      </c>
      <c r="D28" t="s">
        <v>134</v>
      </c>
      <c r="E28" t="s">
        <v>115</v>
      </c>
      <c r="F28" t="s">
        <v>52</v>
      </c>
      <c r="G28">
        <v>60</v>
      </c>
      <c r="H28">
        <v>1</v>
      </c>
      <c r="I28" s="4">
        <v>46153</v>
      </c>
    </row>
    <row r="29" spans="1:12" hidden="1">
      <c r="A29" s="1" t="s">
        <v>123</v>
      </c>
      <c r="B29" t="s">
        <v>135</v>
      </c>
      <c r="D29" t="s">
        <v>70</v>
      </c>
      <c r="E29" t="s">
        <v>62</v>
      </c>
      <c r="F29" t="s">
        <v>106</v>
      </c>
      <c r="G29">
        <v>60</v>
      </c>
      <c r="H29">
        <v>1</v>
      </c>
      <c r="I29" s="4">
        <v>46153</v>
      </c>
      <c r="L29" t="s">
        <v>136</v>
      </c>
    </row>
    <row r="30" spans="1:12" hidden="1">
      <c r="A30" t="s">
        <v>112</v>
      </c>
      <c r="B30" t="s">
        <v>137</v>
      </c>
      <c r="D30" t="s">
        <v>134</v>
      </c>
      <c r="E30" t="s">
        <v>45</v>
      </c>
      <c r="F30" t="s">
        <v>66</v>
      </c>
      <c r="G30">
        <v>5</v>
      </c>
      <c r="H30">
        <v>1</v>
      </c>
      <c r="I30" s="4">
        <v>46154</v>
      </c>
      <c r="L30" t="s">
        <v>138</v>
      </c>
    </row>
    <row r="31" spans="1:12" hidden="1">
      <c r="A31" t="s">
        <v>112</v>
      </c>
      <c r="B31" t="s">
        <v>139</v>
      </c>
      <c r="D31" t="s">
        <v>134</v>
      </c>
      <c r="E31" t="s">
        <v>45</v>
      </c>
      <c r="F31" t="s">
        <v>106</v>
      </c>
      <c r="G31">
        <v>30</v>
      </c>
      <c r="H31">
        <v>1</v>
      </c>
      <c r="I31" s="4">
        <v>46154</v>
      </c>
      <c r="L31" t="s">
        <v>140</v>
      </c>
    </row>
    <row r="32" spans="1:12" hidden="1">
      <c r="A32" t="s">
        <v>112</v>
      </c>
      <c r="B32" t="s">
        <v>79</v>
      </c>
      <c r="D32" t="s">
        <v>44</v>
      </c>
      <c r="E32" t="s">
        <v>45</v>
      </c>
      <c r="F32" t="s">
        <v>54</v>
      </c>
      <c r="G32">
        <v>15</v>
      </c>
      <c r="H32">
        <v>1</v>
      </c>
      <c r="I32" s="4">
        <v>46154</v>
      </c>
    </row>
    <row r="33" spans="1:12" hidden="1">
      <c r="A33" s="7" t="s">
        <v>112</v>
      </c>
      <c r="B33" s="7" t="s">
        <v>141</v>
      </c>
      <c r="C33" s="7"/>
      <c r="D33" s="7" t="s">
        <v>44</v>
      </c>
      <c r="E33" s="7" t="s">
        <v>45</v>
      </c>
      <c r="F33" s="7" t="s">
        <v>66</v>
      </c>
      <c r="G33" s="7">
        <v>0</v>
      </c>
      <c r="H33" s="7">
        <v>1</v>
      </c>
      <c r="I33" s="8">
        <v>46154</v>
      </c>
    </row>
    <row r="34" spans="1:12" hidden="1">
      <c r="A34" t="s">
        <v>112</v>
      </c>
      <c r="B34" t="s">
        <v>142</v>
      </c>
      <c r="D34" t="s">
        <v>134</v>
      </c>
      <c r="E34" t="s">
        <v>45</v>
      </c>
      <c r="F34" t="s">
        <v>66</v>
      </c>
      <c r="G34">
        <v>30</v>
      </c>
      <c r="H34">
        <v>1</v>
      </c>
      <c r="I34" s="4">
        <v>46154</v>
      </c>
    </row>
    <row r="35" spans="1:12" hidden="1">
      <c r="A35" t="s">
        <v>143</v>
      </c>
      <c r="B35" t="s">
        <v>144</v>
      </c>
      <c r="E35" t="s">
        <v>45</v>
      </c>
      <c r="F35" t="s">
        <v>54</v>
      </c>
      <c r="G35">
        <v>30</v>
      </c>
      <c r="H35">
        <v>0</v>
      </c>
      <c r="I35" s="4">
        <v>46160</v>
      </c>
      <c r="K35" t="s">
        <v>47</v>
      </c>
    </row>
    <row r="36" spans="1:12" hidden="1">
      <c r="A36" t="s">
        <v>143</v>
      </c>
      <c r="B36" t="s">
        <v>145</v>
      </c>
      <c r="C36" s="6" t="s">
        <v>146</v>
      </c>
      <c r="E36" t="s">
        <v>45</v>
      </c>
      <c r="F36" t="s">
        <v>54</v>
      </c>
      <c r="G36">
        <v>30</v>
      </c>
      <c r="H36">
        <v>0</v>
      </c>
      <c r="I36" s="4">
        <v>46160</v>
      </c>
      <c r="K36" t="s">
        <v>47</v>
      </c>
    </row>
    <row r="37" spans="1:12" hidden="1">
      <c r="A37" t="s">
        <v>108</v>
      </c>
      <c r="B37" t="s">
        <v>147</v>
      </c>
      <c r="E37" t="s">
        <v>45</v>
      </c>
      <c r="F37" t="s">
        <v>54</v>
      </c>
      <c r="G37">
        <v>15</v>
      </c>
      <c r="H37">
        <v>0</v>
      </c>
      <c r="I37" s="4">
        <v>46160</v>
      </c>
      <c r="K37" t="s">
        <v>47</v>
      </c>
    </row>
    <row r="38" spans="1:12" hidden="1">
      <c r="A38" t="s">
        <v>143</v>
      </c>
      <c r="B38" t="s">
        <v>148</v>
      </c>
      <c r="C38" s="6"/>
      <c r="E38" t="s">
        <v>45</v>
      </c>
      <c r="F38" t="s">
        <v>54</v>
      </c>
      <c r="G38">
        <v>15</v>
      </c>
      <c r="H38">
        <v>1</v>
      </c>
      <c r="I38" s="4">
        <v>46160</v>
      </c>
      <c r="L38" t="s">
        <v>149</v>
      </c>
    </row>
    <row r="39" spans="1:12" hidden="1">
      <c r="A39" t="s">
        <v>143</v>
      </c>
      <c r="B39" t="s">
        <v>150</v>
      </c>
      <c r="C39" t="s">
        <v>151</v>
      </c>
      <c r="E39" t="s">
        <v>45</v>
      </c>
      <c r="F39" t="s">
        <v>54</v>
      </c>
      <c r="G39">
        <v>30</v>
      </c>
      <c r="H39">
        <v>1</v>
      </c>
      <c r="I39" s="4">
        <v>46160</v>
      </c>
      <c r="L39" t="s">
        <v>149</v>
      </c>
    </row>
    <row r="40" spans="1:12" hidden="1">
      <c r="A40" t="s">
        <v>152</v>
      </c>
      <c r="B40" t="s">
        <v>153</v>
      </c>
      <c r="C40" t="s">
        <v>154</v>
      </c>
      <c r="D40" t="s">
        <v>44</v>
      </c>
      <c r="E40" t="s">
        <v>45</v>
      </c>
      <c r="F40" t="s">
        <v>66</v>
      </c>
      <c r="H40">
        <v>0</v>
      </c>
      <c r="I40" s="4">
        <v>46161</v>
      </c>
      <c r="K40" t="s">
        <v>47</v>
      </c>
    </row>
    <row r="41" spans="1:12" hidden="1">
      <c r="A41" t="s">
        <v>152</v>
      </c>
      <c r="B41" t="s">
        <v>155</v>
      </c>
      <c r="D41" t="s">
        <v>44</v>
      </c>
      <c r="E41" t="s">
        <v>45</v>
      </c>
      <c r="F41" t="s">
        <v>66</v>
      </c>
      <c r="H41">
        <v>0</v>
      </c>
      <c r="I41" s="4">
        <v>46161</v>
      </c>
      <c r="K41" t="s">
        <v>73</v>
      </c>
      <c r="L41" t="s">
        <v>156</v>
      </c>
    </row>
    <row r="42" spans="1:12" hidden="1">
      <c r="A42" t="s">
        <v>157</v>
      </c>
      <c r="B42" s="9" t="s">
        <v>158</v>
      </c>
      <c r="D42" s="11" t="s">
        <v>159</v>
      </c>
      <c r="E42" t="s">
        <v>45</v>
      </c>
      <c r="H42">
        <v>0</v>
      </c>
      <c r="I42" s="4">
        <v>46161</v>
      </c>
      <c r="K42" t="s">
        <v>47</v>
      </c>
      <c r="L42" t="s">
        <v>156</v>
      </c>
    </row>
    <row r="43" spans="1:12" hidden="1">
      <c r="A43" t="s">
        <v>157</v>
      </c>
      <c r="B43" t="s">
        <v>160</v>
      </c>
      <c r="C43" t="s">
        <v>161</v>
      </c>
      <c r="D43" s="11" t="s">
        <v>159</v>
      </c>
      <c r="E43" t="s">
        <v>45</v>
      </c>
      <c r="H43">
        <v>0</v>
      </c>
      <c r="I43" s="4">
        <v>46161</v>
      </c>
      <c r="K43" t="s">
        <v>47</v>
      </c>
    </row>
    <row r="44" spans="1:12" hidden="1">
      <c r="A44" t="s">
        <v>157</v>
      </c>
      <c r="B44" s="10" t="s">
        <v>162</v>
      </c>
      <c r="C44" s="9" t="s">
        <v>163</v>
      </c>
      <c r="D44" s="11" t="s">
        <v>159</v>
      </c>
      <c r="E44" t="s">
        <v>45</v>
      </c>
      <c r="H44">
        <v>0</v>
      </c>
      <c r="I44" s="4">
        <v>46161</v>
      </c>
      <c r="K44" t="s">
        <v>47</v>
      </c>
    </row>
    <row r="45" spans="1:12" hidden="1">
      <c r="A45" t="s">
        <v>157</v>
      </c>
      <c r="B45" s="9" t="s">
        <v>164</v>
      </c>
      <c r="D45" s="11" t="s">
        <v>159</v>
      </c>
      <c r="E45" t="s">
        <v>45</v>
      </c>
      <c r="H45">
        <v>0</v>
      </c>
      <c r="I45" s="4">
        <v>46161</v>
      </c>
      <c r="K45" t="s">
        <v>47</v>
      </c>
    </row>
    <row r="46" spans="1:12" hidden="1">
      <c r="A46" t="s">
        <v>152</v>
      </c>
      <c r="B46" t="s">
        <v>165</v>
      </c>
      <c r="D46" t="s">
        <v>44</v>
      </c>
      <c r="E46" t="s">
        <v>45</v>
      </c>
      <c r="F46" t="s">
        <v>66</v>
      </c>
      <c r="H46">
        <v>1</v>
      </c>
      <c r="I46" s="4">
        <v>46161</v>
      </c>
      <c r="L46" t="s">
        <v>149</v>
      </c>
    </row>
    <row r="47" spans="1:12" hidden="1">
      <c r="A47" t="s">
        <v>152</v>
      </c>
      <c r="B47" t="s">
        <v>166</v>
      </c>
      <c r="C47" t="s">
        <v>167</v>
      </c>
      <c r="D47" t="s">
        <v>44</v>
      </c>
      <c r="E47" t="s">
        <v>45</v>
      </c>
      <c r="F47" t="s">
        <v>168</v>
      </c>
      <c r="H47">
        <v>1</v>
      </c>
      <c r="I47" s="4">
        <v>46161</v>
      </c>
      <c r="L47" t="s">
        <v>169</v>
      </c>
    </row>
    <row r="48" spans="1:12" hidden="1">
      <c r="A48" t="s">
        <v>152</v>
      </c>
      <c r="B48" t="s">
        <v>170</v>
      </c>
      <c r="D48" t="s">
        <v>44</v>
      </c>
      <c r="E48" t="s">
        <v>45</v>
      </c>
      <c r="F48" t="s">
        <v>66</v>
      </c>
      <c r="H48">
        <v>1</v>
      </c>
      <c r="I48" s="4">
        <v>46161</v>
      </c>
      <c r="L48" t="s">
        <v>169</v>
      </c>
    </row>
    <row r="49" spans="1:12">
      <c r="A49" t="s">
        <v>152</v>
      </c>
      <c r="B49" t="s">
        <v>171</v>
      </c>
      <c r="C49" t="s">
        <v>172</v>
      </c>
      <c r="D49" t="s">
        <v>44</v>
      </c>
      <c r="E49" t="s">
        <v>115</v>
      </c>
      <c r="F49" t="s">
        <v>173</v>
      </c>
      <c r="H49">
        <v>0</v>
      </c>
      <c r="I49" s="4">
        <v>46161</v>
      </c>
      <c r="L49" t="s">
        <v>174</v>
      </c>
    </row>
    <row r="50" spans="1:12" hidden="1">
      <c r="A50" t="s">
        <v>157</v>
      </c>
      <c r="B50" s="10" t="s">
        <v>175</v>
      </c>
      <c r="D50" s="11" t="s">
        <v>159</v>
      </c>
      <c r="E50" t="s">
        <v>45</v>
      </c>
      <c r="H50">
        <v>1</v>
      </c>
      <c r="I50" s="4">
        <v>46161</v>
      </c>
      <c r="L50" t="s">
        <v>176</v>
      </c>
    </row>
    <row r="51" spans="1:12" hidden="1">
      <c r="A51" t="s">
        <v>152</v>
      </c>
      <c r="B51" t="s">
        <v>177</v>
      </c>
      <c r="D51" t="s">
        <v>44</v>
      </c>
      <c r="E51" t="s">
        <v>45</v>
      </c>
      <c r="F51" t="s">
        <v>66</v>
      </c>
      <c r="H51">
        <v>1</v>
      </c>
      <c r="I51" s="4">
        <v>46161</v>
      </c>
      <c r="L51" t="s">
        <v>178</v>
      </c>
    </row>
    <row r="52" spans="1:12" hidden="1">
      <c r="A52" t="s">
        <v>152</v>
      </c>
      <c r="B52" t="s">
        <v>179</v>
      </c>
      <c r="D52" t="s">
        <v>44</v>
      </c>
      <c r="E52" t="s">
        <v>115</v>
      </c>
      <c r="F52" t="s">
        <v>66</v>
      </c>
      <c r="H52">
        <v>1</v>
      </c>
      <c r="I52" s="4">
        <v>46161</v>
      </c>
    </row>
    <row r="53" spans="1:12" hidden="1">
      <c r="A53" t="s">
        <v>157</v>
      </c>
      <c r="B53" s="3" t="s">
        <v>180</v>
      </c>
      <c r="D53" s="11" t="s">
        <v>159</v>
      </c>
      <c r="E53" t="s">
        <v>45</v>
      </c>
      <c r="H53">
        <v>1</v>
      </c>
      <c r="I53" s="4">
        <v>46161</v>
      </c>
      <c r="L53" t="s">
        <v>181</v>
      </c>
    </row>
    <row r="54" spans="1:12" hidden="1">
      <c r="A54" t="s">
        <v>157</v>
      </c>
      <c r="B54" s="10" t="s">
        <v>182</v>
      </c>
      <c r="D54" s="11" t="s">
        <v>159</v>
      </c>
      <c r="E54" t="s">
        <v>45</v>
      </c>
      <c r="H54">
        <v>1</v>
      </c>
      <c r="I54" s="4">
        <v>46161</v>
      </c>
      <c r="L54" t="s">
        <v>183</v>
      </c>
    </row>
    <row r="55" spans="1:12" hidden="1">
      <c r="A55" t="s">
        <v>157</v>
      </c>
      <c r="B55" s="11" t="s">
        <v>184</v>
      </c>
      <c r="D55" s="11" t="s">
        <v>159</v>
      </c>
      <c r="E55" t="s">
        <v>45</v>
      </c>
      <c r="H55">
        <v>1</v>
      </c>
      <c r="I55" s="4">
        <v>46161</v>
      </c>
    </row>
    <row r="56" spans="1:12" hidden="1">
      <c r="A56" t="s">
        <v>185</v>
      </c>
      <c r="B56" t="s">
        <v>186</v>
      </c>
      <c r="H56">
        <v>1</v>
      </c>
      <c r="I56" s="4">
        <v>46166</v>
      </c>
    </row>
    <row r="57" spans="1:12" hidden="1">
      <c r="A57" t="s">
        <v>187</v>
      </c>
      <c r="B57" t="s">
        <v>188</v>
      </c>
      <c r="D57" t="s">
        <v>189</v>
      </c>
      <c r="H57">
        <v>1</v>
      </c>
      <c r="I57" s="4">
        <v>46168</v>
      </c>
      <c r="L57" t="s">
        <v>190</v>
      </c>
    </row>
    <row r="58" spans="1:12" hidden="1">
      <c r="A58" t="s">
        <v>187</v>
      </c>
      <c r="B58" t="s">
        <v>191</v>
      </c>
      <c r="D58" t="s">
        <v>189</v>
      </c>
      <c r="H58">
        <v>1</v>
      </c>
      <c r="I58" s="4">
        <v>46168</v>
      </c>
      <c r="L58" t="s">
        <v>156</v>
      </c>
    </row>
    <row r="59" spans="1:12" hidden="1">
      <c r="A59" t="s">
        <v>187</v>
      </c>
      <c r="B59" t="s">
        <v>192</v>
      </c>
      <c r="D59" t="s">
        <v>189</v>
      </c>
      <c r="H59">
        <v>1</v>
      </c>
      <c r="I59" s="4">
        <v>46168</v>
      </c>
      <c r="L59" t="s">
        <v>193</v>
      </c>
    </row>
    <row r="60" spans="1:12" hidden="1">
      <c r="A60" t="s">
        <v>194</v>
      </c>
      <c r="B60" t="s">
        <v>195</v>
      </c>
      <c r="D60" t="s">
        <v>196</v>
      </c>
      <c r="H60">
        <v>1</v>
      </c>
      <c r="I60" s="4">
        <v>46168</v>
      </c>
    </row>
    <row r="61" spans="1:12" hidden="1">
      <c r="A61" t="s">
        <v>112</v>
      </c>
      <c r="B61" t="s">
        <v>197</v>
      </c>
      <c r="D61" t="s">
        <v>70</v>
      </c>
      <c r="H61">
        <v>1</v>
      </c>
      <c r="I61" s="4">
        <v>46168</v>
      </c>
      <c r="L61" t="s">
        <v>136</v>
      </c>
    </row>
    <row r="62" spans="1:12" hidden="1">
      <c r="A62" t="s">
        <v>112</v>
      </c>
      <c r="B62" t="s">
        <v>198</v>
      </c>
      <c r="D62" t="s">
        <v>70</v>
      </c>
      <c r="H62">
        <v>1</v>
      </c>
      <c r="I62" s="4">
        <v>46168</v>
      </c>
      <c r="L62" t="s">
        <v>136</v>
      </c>
    </row>
    <row r="63" spans="1:12" hidden="1">
      <c r="A63" t="s">
        <v>199</v>
      </c>
      <c r="B63" t="s">
        <v>200</v>
      </c>
      <c r="C63" t="s">
        <v>201</v>
      </c>
      <c r="D63" s="11" t="s">
        <v>202</v>
      </c>
      <c r="G63">
        <v>90</v>
      </c>
      <c r="H63">
        <v>1</v>
      </c>
      <c r="I63" s="4">
        <v>46168</v>
      </c>
      <c r="L63" t="s">
        <v>203</v>
      </c>
    </row>
    <row r="64" spans="1:12" hidden="1">
      <c r="A64" t="s">
        <v>143</v>
      </c>
      <c r="B64" t="s">
        <v>204</v>
      </c>
      <c r="H64">
        <v>1</v>
      </c>
      <c r="I64" s="4">
        <v>46170</v>
      </c>
    </row>
    <row r="65" spans="1:12" hidden="1">
      <c r="A65" t="s">
        <v>112</v>
      </c>
      <c r="B65" t="s">
        <v>205</v>
      </c>
      <c r="D65" t="s">
        <v>70</v>
      </c>
      <c r="E65" t="s">
        <v>45</v>
      </c>
      <c r="G65">
        <v>15</v>
      </c>
      <c r="H65">
        <v>1</v>
      </c>
      <c r="I65" s="4">
        <v>46170</v>
      </c>
    </row>
    <row r="66" spans="1:12" hidden="1">
      <c r="A66" t="s">
        <v>206</v>
      </c>
      <c r="B66" t="s">
        <v>207</v>
      </c>
      <c r="C66" t="s">
        <v>208</v>
      </c>
      <c r="D66" t="s">
        <v>206</v>
      </c>
      <c r="E66" t="s">
        <v>45</v>
      </c>
      <c r="F66" t="s">
        <v>66</v>
      </c>
      <c r="G66">
        <v>60</v>
      </c>
      <c r="H66">
        <v>1</v>
      </c>
      <c r="I66" s="4">
        <v>46188</v>
      </c>
      <c r="L66" t="s">
        <v>209</v>
      </c>
    </row>
    <row r="67" spans="1:12" hidden="1">
      <c r="A67" t="s">
        <v>210</v>
      </c>
      <c r="B67" t="s">
        <v>211</v>
      </c>
      <c r="D67" t="s">
        <v>83</v>
      </c>
      <c r="E67" t="s">
        <v>45</v>
      </c>
      <c r="F67" t="s">
        <v>66</v>
      </c>
      <c r="G67">
        <v>15</v>
      </c>
      <c r="H67">
        <v>1</v>
      </c>
      <c r="I67" s="4">
        <v>46188</v>
      </c>
      <c r="L67" t="s">
        <v>212</v>
      </c>
    </row>
    <row r="68" spans="1:12" hidden="1">
      <c r="A68" t="s">
        <v>213</v>
      </c>
      <c r="B68" t="s">
        <v>214</v>
      </c>
      <c r="C68" t="s">
        <v>215</v>
      </c>
      <c r="H68">
        <v>1</v>
      </c>
      <c r="I68" s="4">
        <v>46189</v>
      </c>
    </row>
    <row r="69" spans="1:12" hidden="1">
      <c r="A69" t="s">
        <v>157</v>
      </c>
      <c r="B69" t="s">
        <v>216</v>
      </c>
      <c r="E69" t="s">
        <v>45</v>
      </c>
      <c r="H69">
        <v>1</v>
      </c>
      <c r="I69" s="4">
        <v>46195</v>
      </c>
      <c r="L69" t="s">
        <v>217</v>
      </c>
    </row>
    <row r="70" spans="1:12" hidden="1">
      <c r="A70" t="s">
        <v>143</v>
      </c>
      <c r="B70" t="s">
        <v>218</v>
      </c>
      <c r="E70" t="s">
        <v>45</v>
      </c>
      <c r="H70">
        <v>1</v>
      </c>
      <c r="I70" s="4">
        <v>46195</v>
      </c>
      <c r="L70" t="s">
        <v>219</v>
      </c>
    </row>
    <row r="71" spans="1:12">
      <c r="A71" t="s">
        <v>220</v>
      </c>
      <c r="B71" t="s">
        <v>221</v>
      </c>
      <c r="D71" t="s">
        <v>206</v>
      </c>
      <c r="E71" t="s">
        <v>222</v>
      </c>
      <c r="F71" t="s">
        <v>66</v>
      </c>
      <c r="G71">
        <v>240</v>
      </c>
      <c r="H71">
        <v>0</v>
      </c>
      <c r="I71" s="4">
        <v>46203</v>
      </c>
      <c r="L71" t="s">
        <v>223</v>
      </c>
    </row>
    <row r="72" spans="1:12">
      <c r="A72" t="s">
        <v>224</v>
      </c>
      <c r="B72" t="s">
        <v>225</v>
      </c>
      <c r="D72" t="s">
        <v>206</v>
      </c>
      <c r="E72" t="s">
        <v>222</v>
      </c>
      <c r="F72" t="s">
        <v>66</v>
      </c>
      <c r="G72" t="s">
        <v>226</v>
      </c>
      <c r="H72">
        <v>0</v>
      </c>
      <c r="I72" s="4">
        <v>46203</v>
      </c>
      <c r="L72" t="s">
        <v>156</v>
      </c>
    </row>
    <row r="73" spans="1:12">
      <c r="A73" t="s">
        <v>47</v>
      </c>
      <c r="B73" t="s">
        <v>227</v>
      </c>
      <c r="D73" t="s">
        <v>228</v>
      </c>
      <c r="E73" t="s">
        <v>222</v>
      </c>
      <c r="F73" t="s">
        <v>229</v>
      </c>
      <c r="H73">
        <v>1</v>
      </c>
      <c r="I73" s="4">
        <v>46203</v>
      </c>
      <c r="L73" t="s">
        <v>230</v>
      </c>
    </row>
    <row r="74" spans="1:12">
      <c r="A74" t="s">
        <v>47</v>
      </c>
      <c r="B74" t="s">
        <v>231</v>
      </c>
      <c r="C74" t="s">
        <v>232</v>
      </c>
      <c r="D74" t="s">
        <v>228</v>
      </c>
      <c r="E74" t="s">
        <v>222</v>
      </c>
      <c r="F74" t="s">
        <v>66</v>
      </c>
      <c r="H74">
        <v>0</v>
      </c>
      <c r="I74" s="4">
        <v>46203</v>
      </c>
    </row>
    <row r="75" spans="1:12">
      <c r="A75" t="s">
        <v>143</v>
      </c>
      <c r="B75" t="s">
        <v>233</v>
      </c>
      <c r="C75" t="s">
        <v>234</v>
      </c>
      <c r="D75" t="s">
        <v>228</v>
      </c>
      <c r="E75" t="s">
        <v>222</v>
      </c>
      <c r="F75" t="s">
        <v>229</v>
      </c>
      <c r="H75">
        <v>0</v>
      </c>
      <c r="I75" s="4">
        <v>46203</v>
      </c>
    </row>
  </sheetData>
  <autoFilter ref="A1:L70" xr:uid="{95EB5C28-78FC-47E8-BEE7-E55113C48D82}">
    <filterColumn colId="7">
      <filters>
        <filter val="0"/>
      </filters>
    </filterColumn>
    <filterColumn colId="10">
      <filters blank="1"/>
    </filterColumn>
    <sortState xmlns:xlrd2="http://schemas.microsoft.com/office/spreadsheetml/2017/richdata2" ref="A2:L49">
      <sortCondition ref="I1:I70"/>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B9C3-EC1E-4B6A-BA15-57BEF5818B3A}">
  <dimension ref="A1:L7"/>
  <sheetViews>
    <sheetView workbookViewId="0">
      <selection activeCell="M15" sqref="M15"/>
    </sheetView>
  </sheetViews>
  <sheetFormatPr defaultRowHeight="15"/>
  <sheetData>
    <row r="1" spans="1:12">
      <c r="A1" t="s">
        <v>29</v>
      </c>
      <c r="B1" t="s">
        <v>30</v>
      </c>
      <c r="C1" t="s">
        <v>31</v>
      </c>
      <c r="D1" t="s">
        <v>32</v>
      </c>
      <c r="E1" t="s">
        <v>33</v>
      </c>
      <c r="F1" t="s">
        <v>34</v>
      </c>
      <c r="G1" t="s">
        <v>35</v>
      </c>
      <c r="H1" t="s">
        <v>36</v>
      </c>
      <c r="I1" t="s">
        <v>37</v>
      </c>
      <c r="J1" t="s">
        <v>38</v>
      </c>
      <c r="K1" t="s">
        <v>39</v>
      </c>
      <c r="L1" t="s">
        <v>40</v>
      </c>
    </row>
    <row r="2" spans="1:12">
      <c r="A2" t="s">
        <v>41</v>
      </c>
      <c r="B2" t="s">
        <v>235</v>
      </c>
      <c r="C2" t="s">
        <v>236</v>
      </c>
      <c r="D2" t="s">
        <v>83</v>
      </c>
      <c r="E2" t="s">
        <v>45</v>
      </c>
      <c r="F2" t="s">
        <v>66</v>
      </c>
      <c r="G2">
        <v>60</v>
      </c>
      <c r="H2">
        <v>1</v>
      </c>
      <c r="I2" s="4">
        <v>46149</v>
      </c>
      <c r="L2" t="s">
        <v>237</v>
      </c>
    </row>
    <row r="3" spans="1:12">
      <c r="A3" t="s">
        <v>143</v>
      </c>
      <c r="B3" t="s">
        <v>238</v>
      </c>
      <c r="C3" t="s">
        <v>239</v>
      </c>
      <c r="E3" t="s">
        <v>45</v>
      </c>
      <c r="F3" t="s">
        <v>66</v>
      </c>
      <c r="G3">
        <v>0</v>
      </c>
      <c r="H3">
        <v>0</v>
      </c>
      <c r="I3" s="4">
        <v>46160</v>
      </c>
      <c r="L3" t="s">
        <v>156</v>
      </c>
    </row>
    <row r="4" spans="1:12">
      <c r="A4" s="1" t="s">
        <v>240</v>
      </c>
      <c r="B4" t="s">
        <v>241</v>
      </c>
      <c r="D4" t="s">
        <v>44</v>
      </c>
      <c r="E4" t="s">
        <v>45</v>
      </c>
      <c r="F4" t="s">
        <v>106</v>
      </c>
      <c r="G4">
        <v>0</v>
      </c>
      <c r="H4">
        <v>0</v>
      </c>
      <c r="I4" s="4">
        <v>46153</v>
      </c>
      <c r="L4" t="s">
        <v>156</v>
      </c>
    </row>
    <row r="5" spans="1:12">
      <c r="A5" t="s">
        <v>152</v>
      </c>
      <c r="B5" t="s">
        <v>242</v>
      </c>
      <c r="C5" t="s">
        <v>243</v>
      </c>
      <c r="D5" t="s">
        <v>44</v>
      </c>
      <c r="E5" t="s">
        <v>45</v>
      </c>
      <c r="F5" t="s">
        <v>66</v>
      </c>
      <c r="H5">
        <v>0</v>
      </c>
      <c r="I5" s="4">
        <v>46161</v>
      </c>
      <c r="L5" t="s">
        <v>156</v>
      </c>
    </row>
    <row r="6" spans="1:12">
      <c r="A6" t="s">
        <v>187</v>
      </c>
      <c r="B6" t="s">
        <v>244</v>
      </c>
      <c r="D6" t="s">
        <v>189</v>
      </c>
      <c r="E6" t="s">
        <v>45</v>
      </c>
      <c r="F6" t="s">
        <v>106</v>
      </c>
      <c r="H6">
        <v>1</v>
      </c>
      <c r="I6" s="4">
        <v>46168</v>
      </c>
      <c r="L6" t="s">
        <v>245</v>
      </c>
    </row>
    <row r="7" spans="1:12">
      <c r="A7" t="s">
        <v>246</v>
      </c>
      <c r="B7" t="s">
        <v>247</v>
      </c>
      <c r="D7" t="s">
        <v>44</v>
      </c>
      <c r="E7" t="s">
        <v>45</v>
      </c>
      <c r="F7" t="s">
        <v>106</v>
      </c>
      <c r="H7">
        <v>0</v>
      </c>
      <c r="I7" s="17">
        <v>46203</v>
      </c>
      <c r="L7" t="s">
        <v>248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D930E-5D76-4CE2-A97D-A1958BDABFD2}">
  <dimension ref="A1:F17"/>
  <sheetViews>
    <sheetView workbookViewId="0">
      <selection activeCell="E18" sqref="E18"/>
    </sheetView>
  </sheetViews>
  <sheetFormatPr defaultRowHeight="15"/>
  <cols>
    <col min="2" max="2" width="9.42578125" bestFit="1" customWidth="1"/>
  </cols>
  <sheetData>
    <row r="1" spans="1:6">
      <c r="A1" t="s">
        <v>7</v>
      </c>
      <c r="B1" t="s">
        <v>249</v>
      </c>
      <c r="C1" t="s">
        <v>250</v>
      </c>
      <c r="D1" t="s">
        <v>251</v>
      </c>
      <c r="E1" t="s">
        <v>252</v>
      </c>
      <c r="F1" t="s">
        <v>253</v>
      </c>
    </row>
    <row r="2" spans="1:6">
      <c r="A2" t="s">
        <v>254</v>
      </c>
      <c r="B2" s="4">
        <v>46174</v>
      </c>
      <c r="C2" t="s">
        <v>255</v>
      </c>
      <c r="D2" t="s">
        <v>12</v>
      </c>
      <c r="E2" t="s">
        <v>256</v>
      </c>
    </row>
    <row r="3" spans="1:6">
      <c r="A3" t="s">
        <v>112</v>
      </c>
      <c r="B3" s="4">
        <v>46174</v>
      </c>
      <c r="C3" t="s">
        <v>255</v>
      </c>
      <c r="D3" t="s">
        <v>12</v>
      </c>
      <c r="E3" t="s">
        <v>256</v>
      </c>
    </row>
    <row r="4" spans="1:6">
      <c r="A4" t="s">
        <v>41</v>
      </c>
      <c r="B4" s="4">
        <v>46174</v>
      </c>
      <c r="C4" t="s">
        <v>257</v>
      </c>
      <c r="D4" t="s">
        <v>12</v>
      </c>
      <c r="E4" t="s">
        <v>256</v>
      </c>
    </row>
    <row r="5" spans="1:6">
      <c r="A5" t="s">
        <v>258</v>
      </c>
      <c r="B5" s="4">
        <v>46174</v>
      </c>
      <c r="C5" t="s">
        <v>257</v>
      </c>
      <c r="D5" t="s">
        <v>12</v>
      </c>
      <c r="E5" t="s">
        <v>256</v>
      </c>
    </row>
    <row r="6" spans="1:6">
      <c r="A6" t="s">
        <v>259</v>
      </c>
      <c r="B6" s="4">
        <v>46174</v>
      </c>
      <c r="C6" t="s">
        <v>257</v>
      </c>
      <c r="D6" t="s">
        <v>12</v>
      </c>
      <c r="E6" t="s">
        <v>256</v>
      </c>
    </row>
    <row r="7" spans="1:6">
      <c r="A7" t="s">
        <v>260</v>
      </c>
      <c r="B7" s="4">
        <v>46175</v>
      </c>
      <c r="C7" t="s">
        <v>257</v>
      </c>
      <c r="D7" t="s">
        <v>12</v>
      </c>
      <c r="E7" t="s">
        <v>261</v>
      </c>
    </row>
    <row r="8" spans="1:6">
      <c r="A8" t="s">
        <v>123</v>
      </c>
      <c r="B8" s="4">
        <v>46175</v>
      </c>
      <c r="C8" t="s">
        <v>257</v>
      </c>
      <c r="D8" t="s">
        <v>12</v>
      </c>
      <c r="E8" t="s">
        <v>261</v>
      </c>
    </row>
    <row r="9" spans="1:6">
      <c r="A9" t="s">
        <v>185</v>
      </c>
      <c r="B9" s="4">
        <v>46177</v>
      </c>
      <c r="C9" t="s">
        <v>257</v>
      </c>
      <c r="D9" t="s">
        <v>12</v>
      </c>
      <c r="E9" t="s">
        <v>262</v>
      </c>
    </row>
    <row r="10" spans="1:6">
      <c r="A10" t="s">
        <v>263</v>
      </c>
      <c r="B10" s="4">
        <v>46184</v>
      </c>
      <c r="C10" t="s">
        <v>12</v>
      </c>
      <c r="D10" t="s">
        <v>12</v>
      </c>
      <c r="E10" t="s">
        <v>264</v>
      </c>
    </row>
    <row r="11" spans="1:6">
      <c r="A11" t="s">
        <v>213</v>
      </c>
      <c r="B11" s="4">
        <v>46189</v>
      </c>
      <c r="C11" t="s">
        <v>257</v>
      </c>
      <c r="D11" t="s">
        <v>12</v>
      </c>
      <c r="E11" t="s">
        <v>265</v>
      </c>
    </row>
    <row r="12" spans="1:6">
      <c r="A12" t="s">
        <v>266</v>
      </c>
      <c r="B12" s="4">
        <v>46191</v>
      </c>
      <c r="C12" t="s">
        <v>12</v>
      </c>
      <c r="D12" t="s">
        <v>12</v>
      </c>
      <c r="E12" t="s">
        <v>264</v>
      </c>
      <c r="F12" t="s">
        <v>267</v>
      </c>
    </row>
    <row r="13" spans="1:6">
      <c r="A13" t="s">
        <v>268</v>
      </c>
      <c r="B13" s="4">
        <v>46196</v>
      </c>
      <c r="C13" t="s">
        <v>269</v>
      </c>
      <c r="D13" t="s">
        <v>12</v>
      </c>
      <c r="E13" t="s">
        <v>264</v>
      </c>
      <c r="F13" t="s">
        <v>270</v>
      </c>
    </row>
    <row r="14" spans="1:6">
      <c r="A14" t="s">
        <v>271</v>
      </c>
      <c r="B14" s="4">
        <v>46198</v>
      </c>
      <c r="C14" t="s">
        <v>12</v>
      </c>
      <c r="D14" t="s">
        <v>12</v>
      </c>
      <c r="E14" t="s">
        <v>261</v>
      </c>
      <c r="F14" t="s">
        <v>272</v>
      </c>
    </row>
    <row r="15" spans="1:6">
      <c r="A15" t="s">
        <v>123</v>
      </c>
      <c r="B15" s="4">
        <v>46202</v>
      </c>
      <c r="C15" t="s">
        <v>12</v>
      </c>
      <c r="D15" t="s">
        <v>12</v>
      </c>
      <c r="E15" t="s">
        <v>256</v>
      </c>
      <c r="F15" t="s">
        <v>273</v>
      </c>
    </row>
    <row r="16" spans="1:6">
      <c r="A16" t="s">
        <v>274</v>
      </c>
      <c r="B16" s="17">
        <v>46203</v>
      </c>
      <c r="C16" t="s">
        <v>12</v>
      </c>
      <c r="D16" t="s">
        <v>12</v>
      </c>
      <c r="E16" t="s">
        <v>256</v>
      </c>
      <c r="F16" t="s">
        <v>275</v>
      </c>
    </row>
    <row r="17" spans="1:5">
      <c r="A17" t="s">
        <v>157</v>
      </c>
      <c r="B17" s="17">
        <v>46203</v>
      </c>
      <c r="C17" t="s">
        <v>269</v>
      </c>
      <c r="D17" t="s">
        <v>12</v>
      </c>
      <c r="E17" t="s">
        <v>276</v>
      </c>
    </row>
  </sheetData>
  <autoFilter ref="A1:F1" xr:uid="{69BD930E-5D76-4CE2-A97D-A1958BDABF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A663-7AB2-4082-8DFD-6D45A15FCB75}">
  <dimension ref="A1:G28"/>
  <sheetViews>
    <sheetView workbookViewId="0">
      <selection activeCell="G36" sqref="G36"/>
    </sheetView>
  </sheetViews>
  <sheetFormatPr defaultRowHeight="15"/>
  <cols>
    <col min="1" max="1" width="30.85546875" bestFit="1" customWidth="1"/>
    <col min="2" max="2" width="17.85546875" bestFit="1" customWidth="1"/>
    <col min="3" max="3" width="7.5703125" bestFit="1" customWidth="1"/>
    <col min="4" max="4" width="30.140625" bestFit="1" customWidth="1"/>
    <col min="5" max="5" width="13.7109375" bestFit="1" customWidth="1"/>
    <col min="6" max="6" width="9.5703125" bestFit="1" customWidth="1"/>
    <col min="7" max="7" width="12.28515625" bestFit="1" customWidth="1"/>
  </cols>
  <sheetData>
    <row r="1" spans="1:7">
      <c r="A1" t="s">
        <v>277</v>
      </c>
      <c r="B1" t="s">
        <v>278</v>
      </c>
      <c r="C1" t="s">
        <v>252</v>
      </c>
      <c r="D1" t="s">
        <v>279</v>
      </c>
      <c r="E1" t="s">
        <v>280</v>
      </c>
      <c r="F1" t="s">
        <v>281</v>
      </c>
      <c r="G1" t="s">
        <v>282</v>
      </c>
    </row>
    <row r="2" spans="1:7">
      <c r="A2" t="s">
        <v>283</v>
      </c>
      <c r="B2" t="s">
        <v>284</v>
      </c>
      <c r="C2" t="s">
        <v>285</v>
      </c>
      <c r="D2" t="s">
        <v>286</v>
      </c>
      <c r="E2" t="s">
        <v>287</v>
      </c>
      <c r="F2" t="b">
        <v>1</v>
      </c>
      <c r="G2" t="b">
        <v>0</v>
      </c>
    </row>
    <row r="3" spans="1:7">
      <c r="A3" t="s">
        <v>288</v>
      </c>
      <c r="B3" t="s">
        <v>284</v>
      </c>
      <c r="C3" t="s">
        <v>285</v>
      </c>
      <c r="D3" t="s">
        <v>289</v>
      </c>
      <c r="E3" t="s">
        <v>290</v>
      </c>
      <c r="F3" t="b">
        <v>1</v>
      </c>
      <c r="G3" t="b">
        <v>0</v>
      </c>
    </row>
    <row r="4" spans="1:7">
      <c r="A4" t="s">
        <v>291</v>
      </c>
      <c r="B4" t="s">
        <v>284</v>
      </c>
      <c r="C4" t="s">
        <v>285</v>
      </c>
      <c r="D4" t="s">
        <v>291</v>
      </c>
      <c r="E4" t="s">
        <v>292</v>
      </c>
      <c r="F4" t="b">
        <v>1</v>
      </c>
      <c r="G4" t="b">
        <v>1</v>
      </c>
    </row>
    <row r="5" spans="1:7">
      <c r="A5" t="s">
        <v>293</v>
      </c>
      <c r="B5" t="s">
        <v>284</v>
      </c>
      <c r="C5" t="s">
        <v>285</v>
      </c>
      <c r="D5" t="s">
        <v>294</v>
      </c>
      <c r="E5" t="s">
        <v>295</v>
      </c>
      <c r="F5" t="b">
        <v>1</v>
      </c>
      <c r="G5" t="b">
        <v>0</v>
      </c>
    </row>
    <row r="6" spans="1:7">
      <c r="A6" t="s">
        <v>296</v>
      </c>
      <c r="B6" t="s">
        <v>284</v>
      </c>
      <c r="C6" t="s">
        <v>285</v>
      </c>
      <c r="D6" t="s">
        <v>294</v>
      </c>
      <c r="E6" t="s">
        <v>297</v>
      </c>
      <c r="F6" t="b">
        <v>1</v>
      </c>
      <c r="G6" t="b">
        <v>1</v>
      </c>
    </row>
    <row r="7" spans="1:7">
      <c r="A7" t="s">
        <v>298</v>
      </c>
      <c r="B7" t="s">
        <v>284</v>
      </c>
      <c r="C7" t="s">
        <v>285</v>
      </c>
      <c r="D7" t="s">
        <v>299</v>
      </c>
      <c r="E7" t="s">
        <v>300</v>
      </c>
      <c r="F7" t="b">
        <v>1</v>
      </c>
      <c r="G7" t="b">
        <v>0</v>
      </c>
    </row>
    <row r="8" spans="1:7">
      <c r="A8" t="s">
        <v>301</v>
      </c>
      <c r="B8" t="s">
        <v>284</v>
      </c>
      <c r="C8" t="s">
        <v>285</v>
      </c>
      <c r="D8" t="s">
        <v>302</v>
      </c>
      <c r="E8" t="s">
        <v>303</v>
      </c>
      <c r="F8" t="b">
        <v>1</v>
      </c>
      <c r="G8" t="b">
        <v>1</v>
      </c>
    </row>
    <row r="9" spans="1:7">
      <c r="A9" t="s">
        <v>304</v>
      </c>
      <c r="B9" t="s">
        <v>284</v>
      </c>
      <c r="C9" t="s">
        <v>285</v>
      </c>
      <c r="D9" t="s">
        <v>294</v>
      </c>
      <c r="E9" t="s">
        <v>305</v>
      </c>
      <c r="F9" t="b">
        <v>1</v>
      </c>
      <c r="G9" t="b">
        <v>1</v>
      </c>
    </row>
    <row r="10" spans="1:7">
      <c r="A10" t="s">
        <v>306</v>
      </c>
      <c r="B10" t="s">
        <v>284</v>
      </c>
      <c r="C10" t="s">
        <v>285</v>
      </c>
      <c r="D10" t="s">
        <v>294</v>
      </c>
      <c r="E10" t="s">
        <v>307</v>
      </c>
      <c r="F10" t="b">
        <v>1</v>
      </c>
      <c r="G10" t="b">
        <v>0</v>
      </c>
    </row>
    <row r="11" spans="1:7">
      <c r="A11" t="s">
        <v>308</v>
      </c>
      <c r="B11" t="s">
        <v>284</v>
      </c>
      <c r="C11" t="s">
        <v>285</v>
      </c>
      <c r="D11" t="s">
        <v>294</v>
      </c>
      <c r="E11" t="s">
        <v>309</v>
      </c>
      <c r="F11" t="b">
        <v>1</v>
      </c>
      <c r="G11" t="b">
        <v>0</v>
      </c>
    </row>
    <row r="12" spans="1:7">
      <c r="A12" t="s">
        <v>310</v>
      </c>
      <c r="B12" t="s">
        <v>284</v>
      </c>
      <c r="C12" t="s">
        <v>285</v>
      </c>
      <c r="D12" t="s">
        <v>294</v>
      </c>
      <c r="E12" t="s">
        <v>311</v>
      </c>
      <c r="F12" t="b">
        <v>1</v>
      </c>
      <c r="G12" t="b">
        <v>0</v>
      </c>
    </row>
    <row r="13" spans="1:7">
      <c r="A13" t="s">
        <v>312</v>
      </c>
      <c r="B13" t="s">
        <v>284</v>
      </c>
      <c r="C13" t="s">
        <v>285</v>
      </c>
      <c r="D13" t="s">
        <v>313</v>
      </c>
      <c r="E13" t="s">
        <v>314</v>
      </c>
      <c r="F13" t="b">
        <v>1</v>
      </c>
      <c r="G13" t="b">
        <v>1</v>
      </c>
    </row>
    <row r="14" spans="1:7">
      <c r="A14" t="s">
        <v>315</v>
      </c>
      <c r="B14" t="s">
        <v>284</v>
      </c>
      <c r="C14" t="s">
        <v>285</v>
      </c>
      <c r="D14" t="s">
        <v>316</v>
      </c>
      <c r="E14" t="s">
        <v>317</v>
      </c>
      <c r="F14" t="b">
        <v>1</v>
      </c>
      <c r="G14" t="b">
        <v>1</v>
      </c>
    </row>
    <row r="15" spans="1:7">
      <c r="A15" t="s">
        <v>318</v>
      </c>
      <c r="B15" t="s">
        <v>284</v>
      </c>
      <c r="C15" t="s">
        <v>285</v>
      </c>
      <c r="D15" t="s">
        <v>316</v>
      </c>
      <c r="E15" t="s">
        <v>319</v>
      </c>
      <c r="F15" t="b">
        <v>1</v>
      </c>
      <c r="G15" t="b">
        <v>1</v>
      </c>
    </row>
    <row r="16" spans="1:7">
      <c r="A16" t="s">
        <v>320</v>
      </c>
      <c r="B16" t="s">
        <v>284</v>
      </c>
      <c r="C16" t="s">
        <v>285</v>
      </c>
      <c r="D16" t="s">
        <v>316</v>
      </c>
      <c r="E16" t="s">
        <v>321</v>
      </c>
      <c r="F16" t="b">
        <v>1</v>
      </c>
      <c r="G16" t="b">
        <v>1</v>
      </c>
    </row>
    <row r="17" spans="1:7">
      <c r="A17" t="s">
        <v>322</v>
      </c>
      <c r="B17" t="s">
        <v>284</v>
      </c>
      <c r="C17" t="s">
        <v>285</v>
      </c>
      <c r="D17" t="s">
        <v>323</v>
      </c>
      <c r="E17" t="s">
        <v>324</v>
      </c>
      <c r="F17" t="b">
        <v>1</v>
      </c>
      <c r="G17" t="b">
        <v>1</v>
      </c>
    </row>
    <row r="18" spans="1:7">
      <c r="A18" t="s">
        <v>325</v>
      </c>
      <c r="B18" t="s">
        <v>284</v>
      </c>
      <c r="C18" t="s">
        <v>285</v>
      </c>
      <c r="D18" t="s">
        <v>326</v>
      </c>
      <c r="E18" t="s">
        <v>327</v>
      </c>
      <c r="F18" t="b">
        <v>1</v>
      </c>
      <c r="G18" t="b">
        <v>0</v>
      </c>
    </row>
    <row r="19" spans="1:7">
      <c r="A19" t="s">
        <v>328</v>
      </c>
      <c r="B19" t="s">
        <v>284</v>
      </c>
      <c r="C19" t="s">
        <v>285</v>
      </c>
      <c r="D19" t="s">
        <v>326</v>
      </c>
      <c r="E19" t="s">
        <v>329</v>
      </c>
      <c r="F19" t="b">
        <v>1</v>
      </c>
      <c r="G19" t="b">
        <v>0</v>
      </c>
    </row>
    <row r="20" spans="1:7">
      <c r="A20" t="s">
        <v>330</v>
      </c>
      <c r="B20" t="s">
        <v>284</v>
      </c>
      <c r="C20" t="s">
        <v>285</v>
      </c>
      <c r="D20" t="s">
        <v>313</v>
      </c>
      <c r="E20" t="s">
        <v>331</v>
      </c>
      <c r="F20" t="b">
        <v>1</v>
      </c>
      <c r="G20" t="b">
        <v>1</v>
      </c>
    </row>
    <row r="21" spans="1:7">
      <c r="A21" t="s">
        <v>332</v>
      </c>
      <c r="B21" t="s">
        <v>284</v>
      </c>
      <c r="C21" t="s">
        <v>285</v>
      </c>
      <c r="D21" t="s">
        <v>326</v>
      </c>
      <c r="E21" t="s">
        <v>333</v>
      </c>
      <c r="F21" t="b">
        <v>1</v>
      </c>
      <c r="G21" t="b">
        <v>0</v>
      </c>
    </row>
    <row r="22" spans="1:7">
      <c r="A22" t="s">
        <v>334</v>
      </c>
      <c r="B22" t="s">
        <v>284</v>
      </c>
      <c r="C22" t="s">
        <v>285</v>
      </c>
      <c r="D22" t="s">
        <v>335</v>
      </c>
      <c r="E22" t="s">
        <v>336</v>
      </c>
      <c r="F22" t="b">
        <v>1</v>
      </c>
      <c r="G22" t="b">
        <v>0</v>
      </c>
    </row>
    <row r="23" spans="1:7">
      <c r="A23" t="s">
        <v>337</v>
      </c>
      <c r="B23" t="s">
        <v>284</v>
      </c>
      <c r="C23" t="s">
        <v>285</v>
      </c>
      <c r="D23" t="s">
        <v>338</v>
      </c>
      <c r="E23" t="s">
        <v>339</v>
      </c>
      <c r="F23" t="b">
        <v>1</v>
      </c>
      <c r="G23" t="b">
        <v>1</v>
      </c>
    </row>
    <row r="24" spans="1:7">
      <c r="A24" t="s">
        <v>340</v>
      </c>
      <c r="B24" t="s">
        <v>284</v>
      </c>
      <c r="C24" t="s">
        <v>285</v>
      </c>
      <c r="D24" t="s">
        <v>341</v>
      </c>
      <c r="E24" t="s">
        <v>342</v>
      </c>
      <c r="F24" t="b">
        <v>1</v>
      </c>
      <c r="G24" t="b">
        <v>1</v>
      </c>
    </row>
    <row r="25" spans="1:7">
      <c r="A25" t="s">
        <v>343</v>
      </c>
      <c r="B25" t="s">
        <v>284</v>
      </c>
      <c r="C25" t="s">
        <v>285</v>
      </c>
      <c r="D25" t="s">
        <v>341</v>
      </c>
      <c r="E25" t="s">
        <v>344</v>
      </c>
      <c r="F25" t="b">
        <v>1</v>
      </c>
      <c r="G25" t="b">
        <v>0</v>
      </c>
    </row>
    <row r="26" spans="1:7">
      <c r="A26" t="s">
        <v>345</v>
      </c>
      <c r="B26" t="s">
        <v>284</v>
      </c>
      <c r="C26" t="s">
        <v>285</v>
      </c>
      <c r="D26" t="s">
        <v>335</v>
      </c>
      <c r="E26" t="s">
        <v>346</v>
      </c>
      <c r="F26" t="b">
        <v>1</v>
      </c>
      <c r="G26" t="b">
        <v>1</v>
      </c>
    </row>
    <row r="27" spans="1:7">
      <c r="A27" t="s">
        <v>347</v>
      </c>
      <c r="B27" t="s">
        <v>284</v>
      </c>
      <c r="C27" t="s">
        <v>285</v>
      </c>
      <c r="D27" t="s">
        <v>289</v>
      </c>
      <c r="E27" t="s">
        <v>348</v>
      </c>
      <c r="F27" t="b">
        <v>1</v>
      </c>
      <c r="G27" t="b">
        <v>0</v>
      </c>
    </row>
    <row r="28" spans="1:7">
      <c r="A28" t="s">
        <v>349</v>
      </c>
      <c r="B28" t="s">
        <v>284</v>
      </c>
      <c r="C28" t="s">
        <v>285</v>
      </c>
      <c r="D28" t="s">
        <v>289</v>
      </c>
      <c r="E28" t="s">
        <v>350</v>
      </c>
      <c r="F28" t="b">
        <v>1</v>
      </c>
      <c r="G28" t="b">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38171-5467-4AB0-82AC-8C5909891122}">
  <dimension ref="A1:F11"/>
  <sheetViews>
    <sheetView topLeftCell="A4" workbookViewId="0">
      <selection activeCell="B12" sqref="B12"/>
    </sheetView>
  </sheetViews>
  <sheetFormatPr defaultRowHeight="15"/>
  <cols>
    <col min="1" max="1" width="11.28515625" bestFit="1" customWidth="1"/>
    <col min="2" max="2" width="51.85546875" bestFit="1" customWidth="1"/>
  </cols>
  <sheetData>
    <row r="1" spans="1:6">
      <c r="A1" t="s">
        <v>7</v>
      </c>
      <c r="B1" t="s">
        <v>351</v>
      </c>
      <c r="C1" t="s">
        <v>352</v>
      </c>
      <c r="D1" t="s">
        <v>252</v>
      </c>
      <c r="F1" t="s">
        <v>353</v>
      </c>
    </row>
    <row r="2" spans="1:6">
      <c r="A2" t="s">
        <v>354</v>
      </c>
      <c r="B2" t="s">
        <v>355</v>
      </c>
      <c r="C2" t="s">
        <v>356</v>
      </c>
      <c r="D2" t="s">
        <v>357</v>
      </c>
      <c r="F2" t="s">
        <v>358</v>
      </c>
    </row>
    <row r="3" spans="1:6">
      <c r="A3" t="s">
        <v>359</v>
      </c>
      <c r="B3" t="s">
        <v>360</v>
      </c>
      <c r="C3" t="s">
        <v>361</v>
      </c>
      <c r="D3" t="s">
        <v>362</v>
      </c>
    </row>
    <row r="4" spans="1:6">
      <c r="A4" t="s">
        <v>363</v>
      </c>
      <c r="B4" t="s">
        <v>364</v>
      </c>
      <c r="C4" s="13" t="s">
        <v>365</v>
      </c>
      <c r="D4" t="s">
        <v>362</v>
      </c>
    </row>
    <row r="5" spans="1:6" ht="15.75" thickBot="1">
      <c r="A5" t="s">
        <v>366</v>
      </c>
      <c r="B5" t="s">
        <v>367</v>
      </c>
      <c r="C5" t="s">
        <v>368</v>
      </c>
      <c r="D5" t="s">
        <v>369</v>
      </c>
    </row>
    <row r="6" spans="1:6" ht="15.75" thickBot="1">
      <c r="A6" t="s">
        <v>370</v>
      </c>
      <c r="B6" t="s">
        <v>371</v>
      </c>
      <c r="C6" s="14" t="s">
        <v>372</v>
      </c>
      <c r="D6" t="s">
        <v>362</v>
      </c>
    </row>
    <row r="7" spans="1:6">
      <c r="A7" t="s">
        <v>373</v>
      </c>
      <c r="B7" t="s">
        <v>374</v>
      </c>
      <c r="C7" s="15" t="s">
        <v>375</v>
      </c>
      <c r="D7" t="s">
        <v>362</v>
      </c>
    </row>
    <row r="8" spans="1:6">
      <c r="A8" t="s">
        <v>376</v>
      </c>
      <c r="B8" t="s">
        <v>377</v>
      </c>
      <c r="C8" t="s">
        <v>378</v>
      </c>
      <c r="D8" t="s">
        <v>369</v>
      </c>
    </row>
    <row r="9" spans="1:6">
      <c r="A9" t="s">
        <v>379</v>
      </c>
      <c r="B9" t="s">
        <v>380</v>
      </c>
      <c r="C9" t="s">
        <v>381</v>
      </c>
      <c r="D9" t="s">
        <v>369</v>
      </c>
    </row>
    <row r="10" spans="1:6">
      <c r="A10" t="s">
        <v>382</v>
      </c>
      <c r="C10" t="s">
        <v>383</v>
      </c>
      <c r="D10" t="s">
        <v>384</v>
      </c>
    </row>
    <row r="11" spans="1:6" ht="15" customHeight="1">
      <c r="A11" t="s">
        <v>385</v>
      </c>
      <c r="B11" t="s">
        <v>386</v>
      </c>
      <c r="C11" s="16" t="s">
        <v>387</v>
      </c>
      <c r="D11" t="s">
        <v>384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13AA02-CBAB-41AF-A680-0F967D60F6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Timo Bergthaler</dc:creator>
  <cp:keywords/>
  <dc:description/>
  <cp:lastModifiedBy/>
  <cp:revision/>
  <dcterms:created xsi:type="dcterms:W3CDTF">2026-05-07T06:13:01Z</dcterms:created>
  <dcterms:modified xsi:type="dcterms:W3CDTF">2026-06-30T21:44:13Z</dcterms:modified>
  <cp:category/>
  <cp:contentStatus/>
</cp:coreProperties>
</file>